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mishu\Downloads\PUE data analysis\"/>
    </mc:Choice>
  </mc:AlternateContent>
  <xr:revisionPtr revIDLastSave="0" documentId="8_{BD3AB69A-66E1-4044-BA0A-688648FF641F}" xr6:coauthVersionLast="47" xr6:coauthVersionMax="47" xr10:uidLastSave="{00000000-0000-0000-0000-000000000000}"/>
  <bookViews>
    <workbookView xWindow="-120" yWindow="-120" windowWidth="29040" windowHeight="15720" xr2:uid="{00000000-000D-0000-FFFF-FFFF00000000}"/>
  </bookViews>
  <sheets>
    <sheet name="Agriculture GP project with PUE" sheetId="1" r:id="rId1"/>
    <sheet name="Region specific" sheetId="2" r:id="rId2"/>
    <sheet name="Country sp;ecific"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7" i="1" l="1"/>
  <c r="T56" i="1"/>
  <c r="R28" i="1"/>
  <c r="S4" i="1"/>
  <c r="T4" i="1" s="1"/>
  <c r="S3" i="1"/>
  <c r="S2" i="1"/>
</calcChain>
</file>

<file path=xl/sharedStrings.xml><?xml version="1.0" encoding="utf-8"?>
<sst xmlns="http://schemas.openxmlformats.org/spreadsheetml/2006/main" count="1140" uniqueCount="643">
  <si>
    <t>PROJECT_ID</t>
  </si>
  <si>
    <t>PROJECT_NAME</t>
  </si>
  <si>
    <t>TTL_NAME</t>
  </si>
  <si>
    <t>DOCUMENT_LINK</t>
  </si>
  <si>
    <t>DOCUMENT_DATE</t>
  </si>
  <si>
    <t>COUNTRY</t>
  </si>
  <si>
    <t>REGION</t>
  </si>
  <si>
    <t>LEAD_GLOBAL_PRACTICE</t>
  </si>
  <si>
    <t>LENDINGING-ISTRUMENT</t>
  </si>
  <si>
    <t>LENDINGINSTRUMENT_CODE</t>
  </si>
  <si>
    <t>MAJOR_SECTOR</t>
  </si>
  <si>
    <t>PRODUCT_LINE</t>
  </si>
  <si>
    <t>PROJECT_STATUS</t>
  </si>
  <si>
    <t>PROJECT_DESCRIPTION</t>
  </si>
  <si>
    <t>PUE type</t>
  </si>
  <si>
    <t>PUE Description</t>
  </si>
  <si>
    <t>Total PUE investment</t>
  </si>
  <si>
    <t>PUE_ Type (cooling)</t>
  </si>
  <si>
    <t>PUE_Type(Irigation)</t>
  </si>
  <si>
    <t>PUE_Type(Processing)</t>
  </si>
  <si>
    <t>P163474</t>
  </si>
  <si>
    <t>Khyber Pakhtunkhwa Irrigated-Agriculture Improvement Project</t>
  </si>
  <si>
    <t>Olivier Durand</t>
  </si>
  <si>
    <t>Pakistan - Khyber Pakhtunkhwa Irrigated-Agriculture Improvement Project</t>
  </si>
  <si>
    <t>2019-05-27</t>
  </si>
  <si>
    <t>Pakistan</t>
  </si>
  <si>
    <t>South Asia</t>
  </si>
  <si>
    <t>Agriculture and Food</t>
  </si>
  <si>
    <t>Investment Project Financing</t>
  </si>
  <si>
    <t>IPF</t>
  </si>
  <si>
    <t>FY17 - Agriculture, Fishing and Forestry, FY17 - Water, Sanitation and Waste Management, FY17 - Industry, Trade and Services</t>
  </si>
  <si>
    <t>IBRD/IDA</t>
  </si>
  <si>
    <t>Active</t>
  </si>
  <si>
    <t>irrigation, value addion,Rehabilitation water sources in farmland</t>
  </si>
  <si>
    <t>Component B: Introduction of Modern Irrigation Technologies (US$44.0 million, IDA US$26.8 million); Subcomponent B1: Installation of High-efficiency Irrigation Systems (HEIS) (US$13.6 million, IDA US$8.1 
million); Subcomponent B2: Construction of On-Farm Water Storage Tanks and Ponds (US$23.2 million, IDA US$17.4 
million).</t>
  </si>
  <si>
    <t>US$44.0 million</t>
  </si>
  <si>
    <t>P176786</t>
  </si>
  <si>
    <t>Punjab Resilient and Inclusive Agriculture Transformation</t>
  </si>
  <si>
    <t>Pakistan - Punjab Resilient and Inclusive Agriculture Transformation Project</t>
  </si>
  <si>
    <t>2022-05-25</t>
  </si>
  <si>
    <t>World</t>
  </si>
  <si>
    <t>Global</t>
  </si>
  <si>
    <t>FY17 - Agriculture, Fishing and Forestry, FY17 - Industry, Trade and Services</t>
  </si>
  <si>
    <t>Water management, irrigation, Water resources</t>
  </si>
  <si>
    <t xml:space="preserve">Component 1: Community-driven Improvement of Water Conveyance and Application. This component has two objectives: (i) improve the equity of water access within the watercourse command area by improving the conveyance efficiency; and (ii) improve agricultural water productivity by promoting the adoption of climate smart water management practices at community 
and farm levels. US$97.00 million;Component 2: Promotion of Climate Smart Production (CSP), Regenerative Agriculture, US$85.00 Million Diversification, VA, and Inclusive Access to Markets. 2.1: Improving the Market Integration of Producer Groups for Increased Production, Diversification, and VA 34 9 252.2: Supporting Individual Producers for CSP and Diversification </t>
  </si>
  <si>
    <t>US$182 Million</t>
  </si>
  <si>
    <t>P163264</t>
  </si>
  <si>
    <t>Cambodia Agricultural Sector Diversification Project</t>
  </si>
  <si>
    <t>Mudita Chamroeun</t>
  </si>
  <si>
    <t>Cambodia - Agricultural Sector Diversification Project</t>
  </si>
  <si>
    <t>2019-01-08</t>
  </si>
  <si>
    <t>Cambodia</t>
  </si>
  <si>
    <t>East Asia and Pacific</t>
  </si>
  <si>
    <t>FY17 - Agriculture, Fishing and Forestry, FY17 - Industry, Trade and Services, FY17 - Information and Communications Technologies</t>
  </si>
  <si>
    <t>Agricultural Diversification, Processing , cooling, irrigation etc</t>
  </si>
  <si>
    <t>1. Enabling Agriculture Diversification;   Subcomponent 1.2: Financing Agriculture Diversification US$30 million; agriculture diversification, including 
processing equipment, on‐farm irrigation equipment (drip, microjet, sprinkler, on‐farm water storage, and 
so on), agricultural machinery, (cold) storage, vehicles, packaging and trading equipment, information and 
communications  technology  (ICT)  solutions,  agricultural  inputs,  and  other  eligible  investments. </t>
  </si>
  <si>
    <t>US$30 million</t>
  </si>
  <si>
    <t>US$10million</t>
  </si>
  <si>
    <t>P163742</t>
  </si>
  <si>
    <t>Climate Smart Irrigated Agriculture Project</t>
  </si>
  <si>
    <t>Sheu Salau</t>
  </si>
  <si>
    <t>Sri Lanka - Climate Smart Irrigated Agriculture Project</t>
  </si>
  <si>
    <t>2019-02-12</t>
  </si>
  <si>
    <t>Sri Lanka</t>
  </si>
  <si>
    <t>;Subcomponent 1.2: Marketing (US$21 million); Subcomponent 2.1: Rehabilitation of Irrigation Systems (US$86 million).; Subcomponent 2.2: Operation and Maintenance of Irrigation Systems (US$6 million).</t>
  </si>
  <si>
    <t>US$113 Million</t>
  </si>
  <si>
    <t>US$21 Million</t>
  </si>
  <si>
    <t>US$92 Million</t>
  </si>
  <si>
    <t>P168132</t>
  </si>
  <si>
    <t>AGRICULTURAL COMPETITIVENESS AND EXPORT DIVERSIFICATION PROJECT</t>
  </si>
  <si>
    <t>Senou Houssou</t>
  </si>
  <si>
    <t>Benin - Agricultural Competitiveness and Export Diversification Project</t>
  </si>
  <si>
    <t>2020-05-08</t>
  </si>
  <si>
    <t>Benin</t>
  </si>
  <si>
    <t>Western and Central Africa</t>
  </si>
  <si>
    <t>FY17 - Transportation, FY17 - Agriculture, Fishing and Forestry, FY17 - Industry, Trade and Services</t>
  </si>
  <si>
    <t>irrigation</t>
  </si>
  <si>
    <t xml:space="preserve">Subcomponent 2.1: Rehabilitation of Irrigation Systems (US$86 million).Subcomponent 2.2: Operation and Maintenance of Irrigation Systems (US$6 million). </t>
  </si>
  <si>
    <t>US$92 million</t>
  </si>
  <si>
    <t>P163533</t>
  </si>
  <si>
    <t>Odisha Integrated Irrigation Project for Climate Resilient Agriculture</t>
  </si>
  <si>
    <t>Azeb Mekonnen</t>
  </si>
  <si>
    <t>India - Odisha Climate Resilient Agriculture Project</t>
  </si>
  <si>
    <t>2019-09-05</t>
  </si>
  <si>
    <t>India</t>
  </si>
  <si>
    <t>FY17 - Industry, Trade and Services, FY17 - Agriculture, Fishing and Forestry</t>
  </si>
  <si>
    <t>Cooling; irrigation</t>
  </si>
  <si>
    <t>Subcomponent 1.2: Support to Aquaculture Production (US$5.7 million); Subcomponent 1.3: Support to Diversification and Produce Marketing (US$36.8 million);Subcomponent 2.1: Support to Water Sector Reforms (US$5.9 million)Subcomponent 2.2: Support to Investments in Cascades (US$132.0 million)</t>
  </si>
  <si>
    <t>US$180 Million</t>
  </si>
  <si>
    <t>US$42.5 million</t>
  </si>
  <si>
    <t>US$137 million</t>
  </si>
  <si>
    <t>P172592</t>
  </si>
  <si>
    <t>Climate Resilient and Sustainable Agriculture Project</t>
  </si>
  <si>
    <t>Melissa Brown</t>
  </si>
  <si>
    <t>Belize - Climate Resilient and Sustainable Agriculture Project</t>
  </si>
  <si>
    <t>2022-02-16</t>
  </si>
  <si>
    <t>Belize</t>
  </si>
  <si>
    <t>Latin America and Caribbean</t>
  </si>
  <si>
    <t>FY17 - Agriculture, Fishing and Forestry</t>
  </si>
  <si>
    <t>Climate smart technologies, cooling processing</t>
  </si>
  <si>
    <t xml:space="preserve">Subcomponent 2.2: Promotion of CSA technologies and practices via matching grants and leveraging of 
private capital (Total cost: US$ 36.7 million; of which IBRD: US$16 million, </t>
  </si>
  <si>
    <t>US$16 million</t>
  </si>
  <si>
    <t>US$8Milion</t>
  </si>
  <si>
    <t>US$8 Million</t>
  </si>
  <si>
    <t>P173070</t>
  </si>
  <si>
    <t>Gambia Inclusive and Resilient Agricultural Value Chain Development Project (GIRAV)</t>
  </si>
  <si>
    <t>Aifa Niane</t>
  </si>
  <si>
    <t>Gambia - Inclusive and Resilient Agricultural Value Chain Development Project</t>
  </si>
  <si>
    <t>2021-11-01</t>
  </si>
  <si>
    <t>Gambia, The</t>
  </si>
  <si>
    <t>Cooling, processing and irrigation</t>
  </si>
  <si>
    <t>Subcomponent 1.2: Developing critical marketing infrastructure (US$4.70 million—US$4.00 million IDA; Subcomponent 2.1: Promoting modern irrigation in women and youth-led agribusiness firms (US$5.76 million—
US$5 million IDA and US$0.76 million from GoTG);Subcomponent 2.2: Increasing access to technology, innovation, and advisory services (US$4.34 million—
US$4.00 million IDA and US$0.34 million from GoTG</t>
  </si>
  <si>
    <t>US$13 Million</t>
  </si>
  <si>
    <t>US$5 Million</t>
  </si>
  <si>
    <t>P167945</t>
  </si>
  <si>
    <t>Burkina Faso Agriculture Resilience and Competitiveness Project</t>
  </si>
  <si>
    <t>Idriss Serme</t>
  </si>
  <si>
    <t>Burkina Faso - Agriculture Resilience and Competitiveness Project</t>
  </si>
  <si>
    <t>2019-08-08</t>
  </si>
  <si>
    <t>Burkina Faso</t>
  </si>
  <si>
    <t>Irrigation, Cooling</t>
  </si>
  <si>
    <t xml:space="preserve"> Sub-Component 1.1: Irrigation infrastructure and land tenure (US$89.0 million of which 
US$75.0 million IDA and US$14.0 million GoBF); Sub-Component 2.2: Marketing infrastructure (US$7.2 million IDA). </t>
  </si>
  <si>
    <t>US$82.2 Million</t>
  </si>
  <si>
    <t>US$75 Million</t>
  </si>
  <si>
    <t>US$7.2 Million</t>
  </si>
  <si>
    <t>P165129</t>
  </si>
  <si>
    <t>Integrated Project for Source Sustainability and Climate Resilient Rain-fed Agriculture in Himachal Pradesh</t>
  </si>
  <si>
    <t>Saumya Srivastava</t>
  </si>
  <si>
    <t>India - Integrated Project for Source Sustainability and Climate Resilient Rain-Fed Agriculture in Himachal Pradesh</t>
  </si>
  <si>
    <t>2020-02-22</t>
  </si>
  <si>
    <t>FY17 - Agriculture, Fishing and Forestry, FY17 - Water, Sanitation and Waste Management</t>
  </si>
  <si>
    <t>Irrigation, processing, cooling</t>
  </si>
  <si>
    <t>Component 2: Improved Agricultural Productivity and Value Addition (US$31.38 million; US$25.10 million ; Component 3: Institutional capacity building for integrated watershed management (US$3.67 million; US$2.94 
million IBRD</t>
  </si>
  <si>
    <t>US25.10 million</t>
  </si>
  <si>
    <t>US$2.94 million</t>
  </si>
  <si>
    <t>Myanmar</t>
  </si>
  <si>
    <t>Cooling and processing</t>
  </si>
  <si>
    <t>P176905</t>
  </si>
  <si>
    <t>Climate Intelligent and Inclusive Agri-food Systems Project</t>
  </si>
  <si>
    <t>Edward Bresnyan</t>
  </si>
  <si>
    <t>Argentina - Climate Intelligent and Inclusive Agri-Food Systems Project</t>
  </si>
  <si>
    <t>2021-12-14</t>
  </si>
  <si>
    <t>Argentina</t>
  </si>
  <si>
    <t>cooling and processing, climate smart agriculture</t>
  </si>
  <si>
    <t>Component 1: Public Infrastructure for Agro-industrial29 Development ( IBRD loan US$200 million;) .Component 2: Agro-industrial Development and Strengthening of Rural Livelihoods. (Total Cost US$215; 
million; IBRD loan US$140 million; Component 3: Component 3: Innovation for a Green and Inclusive Agri-food System Transformation (Total Cost US$75 
million; IBRD loan US$55 million; counterpart funding US$10 million; commercial financing US$5 million; local 
beneficiaries US$5 million).</t>
  </si>
  <si>
    <t>US$350 million</t>
  </si>
  <si>
    <t>US$175 million</t>
  </si>
  <si>
    <t>US$175 Million</t>
  </si>
  <si>
    <t>P168014</t>
  </si>
  <si>
    <t>Agriculture Modernization Project</t>
  </si>
  <si>
    <t>Teklu Toli</t>
  </si>
  <si>
    <t>North Macedonia - Agriculture Modernization Project</t>
  </si>
  <si>
    <t>2020-01-06</t>
  </si>
  <si>
    <t>North Macedonia</t>
  </si>
  <si>
    <t>Europe and Central Asia</t>
  </si>
  <si>
    <t>Cooling</t>
  </si>
  <si>
    <t>Sub-component 1.2 - Agriculture and Food Distribution Systems (USD34.7 million).</t>
  </si>
  <si>
    <t>US$34.8 million</t>
  </si>
  <si>
    <t>P163260</t>
  </si>
  <si>
    <t>DR Resilient Agriculture and Integrated Water Resources Management</t>
  </si>
  <si>
    <t>Barbara Noronha Farinelli</t>
  </si>
  <si>
    <t>Dominican Republic - Resilient Agriculture and Integrated Water Resources Management Project</t>
  </si>
  <si>
    <t>2018-11-13</t>
  </si>
  <si>
    <t>Dominican Republic</t>
  </si>
  <si>
    <t>FY17 - Water, Sanitation and Waste Management, FY17 - Agriculture, Fishing and Forestry</t>
  </si>
  <si>
    <t>Irrigation</t>
  </si>
  <si>
    <t>Component 2: Enhancement of Resilience and Management of Hydraulic Infrastructure
(US$29.0 million, all IBRD); Component 3: Reducing Contamination through Improvement of Water Supply and Sanitation 
Services in Prioritized Areas (US$24.8 million, all IBRD).</t>
  </si>
  <si>
    <t>US$53.8 Million</t>
  </si>
  <si>
    <t>P171462</t>
  </si>
  <si>
    <t>Commercialization and De-Risking for Agricultural Transformation Project</t>
  </si>
  <si>
    <t>Asa Restrepo Giertz</t>
  </si>
  <si>
    <t>Rwanda - Commercialization and De-Risking for Agricultural Transformation Project</t>
  </si>
  <si>
    <t>2022-03-24</t>
  </si>
  <si>
    <t>Rwanda</t>
  </si>
  <si>
    <t>Eastern and Southern Africa</t>
  </si>
  <si>
    <t>Processing, cooliing,irrigation</t>
  </si>
  <si>
    <t>Component 1: Value Chain and Infrastructure Development (US$210 million equivalent); Subcomponent 1.1: Irrigation rehabilitation and development (US$154 million equivalent); Subcomponent 1.3: Innovation and services for agri-business value chain development (US$37 million
equivalent</t>
  </si>
  <si>
    <t>US$191 Million</t>
  </si>
  <si>
    <t>US$37 Million</t>
  </si>
  <si>
    <t xml:space="preserve">US$154 Million, </t>
  </si>
  <si>
    <t>P166328</t>
  </si>
  <si>
    <t>Emergency Agricultural Livelihoods and Climate Resilience Project</t>
  </si>
  <si>
    <t>Winston Dawes</t>
  </si>
  <si>
    <t>Dominica - Emergency Agriculture Livelihoods and Climate Resilience Project</t>
  </si>
  <si>
    <t>2018-03-29</t>
  </si>
  <si>
    <t>Dominica</t>
  </si>
  <si>
    <t>Section: Project Description
Content: A. Project Components
Component A: Restoration of the Productive Base for the Recovery of Agricultural Livelihoods (Total cost: US$16.5 million)
Subcomponent A.1: Restoration of Cropping Systems (Total cost: US$9.3 million)
26. This subcomponent will provide support in recovery of the production capacity of small- and medium-size crop farmers, as well as commercially oriented farmers integrated in value chains and help in the gradual restoration of their livelihoods and in retaining their market shares, through provision of (a) an essential package of inputs (mainly improved quality seeds and fertilizers), tools, and materials for the replanting or restoration of crops and (b) technical and advisory services and training to support the adoption of technology and use of climate-smart practices for increasing diversification and climate resilience at the landscape level. The subcomponent will primarily focus on different support intervention lines to cover the direct assistance to the main types of beneficiaries: (a) small- and medium-size crop farmers (most of them currently growing annual crops) and (b) medium-size commercial farmers (mostly producing high-value perennial/tree crops already inserted in value chains).
27. In addition to the provision of support (key inputs), the beneficiaries will receive technical assistance through MAF’s extension services (to be strengthened in parallel by the Project through training, institutional strengthening, and increased mobility), as well training through participation in farmer field schools (FFSs), demonstration/dissemination events of technical practices and technologies in field days, and other extension/technology dissemination activities organized by MAF under the Project. This training and technical assistance will be particularly focused in the adoption of new and effective technologies and modern inputs to gradually increase climate resilience in the agricultural sector.
28. The overall intervention will reach around 4,600 farmers and will enable the restoration of about 2,470 ha (6,100 acres) of cropping area in the following cropping seasons. These beneficiaries will be selected by the PIU/MAF based on transparent criteria to be made public and detailed in the Project Operations Manual (POM) and with transparent sharing of information pertaining to the outcome of the selection process (see annex 1). Under this subcomponent, the Project will finance procurement of key inputs such as seeds/seedlings, fertilizers, tools, and other materials in accordance with the technical recommendations made by MAF and as agreed between the beneficiary and the extension agent (annex 1), as well as technical advisory services and training. The Project will also finance incremental operational expenses for MAF needed for the storage and distribution of inputs and mobility expenses for the MAF’s field extension agents involved in these activities.
29. The component will focus on scaling up climate-resilient technologies and climate-adapted practices with the objective of building up climate-resilience in the agricultural cropping systems supported by the Project, as well as to contribute to crop productivity gains. Measures to be promoted are:
(a) soil management practices aimed at improving on-farm soil fertility and micronutrient management;
(b) adopting when possible, integrated systems, combining different crops, pastures and forests, with soil protection measures;
(c) climate-adapted seeds varieties that have a short duration cycle to maturity, and are drought-resistant, heat-stress resistant, and/or saline-tolerant; and
(d) measures to enhance water productivity and water-use efficiency.
Subcomponent A.2: Restoration of Livestock and Fisheries Systems (Total cost: US$5.0 million)
30. This component aims to help in restoring production capacity and livelihoods of livestock farmers and fisherfolk, enhancing climate resilience and efficiency of production systems, and promoting agribusiness capabilities. Under this subcomponent, the Project will finance procurement of inputs and materials needed by the livestock farmers and the fisherfolk and boat builders, any necessary consultant and technical advisory services and beneficiaries training, and incremental operational expenses for MAF’s field extension agents assisting these beneficiaries and for the distribution of inputs.
31. Support to medium-scale commercial livestock farmers. The livestock interventions under this subcomponent aim to reestablish the livestock production base that was severely damaged by Hurricane Maria and build a more sustainable and climate-resilient sector. The scheme will support about 200 livestock producers (where an estimated 20 percent will be women). The Project will assist these producers through investment support to restore the damaged animal shelter/housing and other infrastructures for production of poultry (layers and broilers), goats, sheep, rabbits, and pigs, and beekeeping. A set of simple mechanisms will be put in place to ensure that the beneficiaries follow climate-resilient specifications and effectively co-finance the activities approved in the investment plans (see annex 1; and further details to be incorporated into the POM).
32. Support to fisherfolk. The fishery subsector interventions are aimed at restoring fish supply and contributing to livelihoods restoration and revenue streams in the local economy. The Project will support about 150 individual eligible fishers who are already members of the local seafood value chain operating within voluntary guidelines. Specific interventions to be supported by the Project include (a) repair/construction of about 150 boats for fisherfolk (up to 50 percent of the total cost of the boat subject to a maximum of US$5,500 per beneficiary) and (b) reconstruction/rehabilitation of about 5 boat-building facilities (up to a maximum of US$5,500 per beneficiary).
Subcomponent A.3: Building of Climate Resilience and Agribusiness Capabilities (Total cost: US$2.2 million)
33. Climate resilience. To adequately support the investments at the farm level under Subcomponent A.1, the Project will provide technical assistance for development of more productive and climate-resilient systems, through international recruitment of experts to prepare development strategies specifically needed in Dominica’s context (based on the current situation, vulnerability conditions, relative competitiveness constraints, and development strategy) for key agricultural products (either presently being grown or to be introduced) that will inform investment directions with regard to changing weather patterns, natural disasters, and market opportunities, as well as providing long-term development directions for each crop industry. These experts will also train extension agents, rural workers, and farmers in crop production; introduction of new crops varieties; and other topics such as climate-smart agricultural practices, water management and harvesting, marketing, business management, and improved postharvest handling techniques. Therefore, the subcomponent will finance consulting services (firms and/or individuals), non-consulting services including advisory and training services, and capacity-building inputs and events.
34. Agribusiness. This subcomponent will also contribute to building agribusiness capabilities among small- to medium-size crop and livestock farmers and fisherfolk who would have benefited under Subcomponents A.1 and A.2. Customized training under the subcomponent will target small farmers and fisherfolk who are members of cooperatives or formal agriculture producers’ organizations (APOs). Channeling the specialized training through cooperatives and APOs is essential to maximize results, including greenhouse gas (GHG) mitigation outcomes from climate-smart design elements. These legally recognized organizations have the potential to act as aggregators to (a) serve as a formal channel to marketing and add value to produce from small-scale farmers and fisherfolk; (b) deliver technical assistance to small-scale farmers, including GHG mitigation outcomes from climate-smart design elements; and (c) serve as the country’s platform to boost its agricultural regional and international market share. The subcomponent will also train MAF’s public extension agents in climate-smart agricultural practices and will undertake market and value chain studies and assist in the preparation of the country’s medium-term agribusiness development strategy.
35. In line with Dominica’s Intended Nationally Determined Contributions, the main climate benefits and co-benefits, deriving from interventions under Component A, are: the rehabilitation of 2,044 hectares of annual and perennial crops with improved agricultural practices; the transition from traditional to high value and climate resilience systems in 425 hectares of annual and perennial crops; the rehabilitation and resilience enhancement of productive systems for 200 specialized livestock farmers and 150 fisherfolks; the sustainable management of approximately 1,500 hectares of grasslands, ranges and paddocks (corresponding to the 200 specialized livestock farms); and, the use of live fences and plantations in an area equivalent to 100 hectares of grasslands, ranges and paddocks (with trees enhancing land management and livestock nutrition).
Component B: Restoration of Key Productive Infrastructure and Institutional Strengthening (Total cost: US$10.6 million)
Subcomponent B.1: Restoration of Key Infrastructure in Agriculture, Livestock, and Forestry (Total cost: US$8.3 million)
36. This subcomponent will help in restoring key public sector’s infrastructure and assets damaged by the hurricane and reestablish the essential public services for up to 4,800 crop and livestock farmers. The key areas where reconstruction or rehabilitation of public infrastructure is needed include (a) f</t>
  </si>
  <si>
    <t>Water management, cooling</t>
  </si>
  <si>
    <t>Subcomponent B.1: Restoration of Key Infrastructure in Agriculture, Livestock, and Forestry (Total cost: US$8.3 million)</t>
  </si>
  <si>
    <t>US$8.3 Million</t>
  </si>
  <si>
    <t>US$4.15 million</t>
  </si>
  <si>
    <t>US$4.5 milion</t>
  </si>
  <si>
    <t>P173043</t>
  </si>
  <si>
    <t>Solomon Islands Agriculture and Rural Transformation Project</t>
  </si>
  <si>
    <t>Son Vo</t>
  </si>
  <si>
    <t>Solomon Islands - Agriculture and Rural Transformation Project</t>
  </si>
  <si>
    <t>2022-02-28</t>
  </si>
  <si>
    <t>Solomon Islands</t>
  </si>
  <si>
    <t>cooling storag</t>
  </si>
  <si>
    <t xml:space="preserve">Subcomponent 1.2: Infrastructure Investments (US$5.4 million). </t>
  </si>
  <si>
    <t>US$5.4 Million</t>
  </si>
  <si>
    <t>P167634</t>
  </si>
  <si>
    <t>Serbia Competitive Agriculture Project (SCAP)</t>
  </si>
  <si>
    <t>Augusto Garcia</t>
  </si>
  <si>
    <t>Serbia - Competitive Agriculture Project</t>
  </si>
  <si>
    <t>2019-11-07</t>
  </si>
  <si>
    <t>Serbia</t>
  </si>
  <si>
    <t>Solar Pump, irrigation</t>
  </si>
  <si>
    <t xml:space="preserve">Sub-component 1.2.: Facilitating access to finance for productive investments (US$33.7 million / EUR30.8 </t>
  </si>
  <si>
    <t>US$33.7 Million</t>
  </si>
  <si>
    <t>US$16.85 Million</t>
  </si>
  <si>
    <t>P166072</t>
  </si>
  <si>
    <t>Valorization of Investments in the Valley of the Benue</t>
  </si>
  <si>
    <t>Fidele Yobo A Koue Epse Nhiomog</t>
  </si>
  <si>
    <t>Cameroon - Valorization of Investments in the Valley of the Benue Project</t>
  </si>
  <si>
    <t>2020-08-13</t>
  </si>
  <si>
    <t>Cameroon</t>
  </si>
  <si>
    <t>FY17 - Water, Sanitation and Waste Management, FY17 - Industry, Trade and Services, FY17 - Agriculture, Fishing and Forestry</t>
  </si>
  <si>
    <t>Irrigation and processing</t>
  </si>
  <si>
    <t xml:space="preserve">Component 1: Improvements of Infrastructures and Water Management (US$166.9 million of which US$153.0
million equivalent from IDA and US$13.9 million equivalent from beneficiaries; Subcomponent 2.2: Matching Grants for Production and Agribusiness (US$44.3 million of which 
US$11.0 million equivalent from IDA and US$33.3 million equivalent from beneficiaries). </t>
  </si>
  <si>
    <t>US$164.1  Million</t>
  </si>
  <si>
    <t>US$153 million</t>
  </si>
  <si>
    <t xml:space="preserve">US$11.1 Million </t>
  </si>
  <si>
    <t>P165855</t>
  </si>
  <si>
    <t>CAR-Agriculture Recovery and Agribusiness Development Support Project (ARADSP)</t>
  </si>
  <si>
    <t>Senakpon Dakpogan</t>
  </si>
  <si>
    <t>Central African Republic - Agriculture Recovery and Agribusiness Development Support Project</t>
  </si>
  <si>
    <t>2019-04-24</t>
  </si>
  <si>
    <t>Central African Republic</t>
  </si>
  <si>
    <t>Water and cooling</t>
  </si>
  <si>
    <t>Sub-component 1.1: Community Managed Productive Infrastructure (IDA: US$4 million</t>
  </si>
  <si>
    <t>US$4 Million</t>
  </si>
  <si>
    <t>US$2.00Million</t>
  </si>
  <si>
    <t>US$2.00 million</t>
  </si>
  <si>
    <t>P175820</t>
  </si>
  <si>
    <t>Resilience, Entrepreneurship and Livelihood Improvement Project</t>
  </si>
  <si>
    <t>Samina Yasmin</t>
  </si>
  <si>
    <t>Bangladesh - Resilience, Entrepreneurship and Livelihood Improvement Project</t>
  </si>
  <si>
    <t>2021-04-25</t>
  </si>
  <si>
    <t>FY17 - Social Protection, FY17 - Industry, Trade and Services, FY17 - Health, FY17 - Agriculture, Fishing and Forestry</t>
  </si>
  <si>
    <t>processing, cooling</t>
  </si>
  <si>
    <t>Subcomponent B.2: Commercial Agriculture and Rural Entrepreneurship</t>
  </si>
  <si>
    <t>US$18 million</t>
  </si>
  <si>
    <t>US$9 million</t>
  </si>
  <si>
    <t>P169758</t>
  </si>
  <si>
    <t>Henan Green Agriculture Fund Project</t>
  </si>
  <si>
    <t>Sandra Broka</t>
  </si>
  <si>
    <t>China - Henan Green Agriculture Fund Project</t>
  </si>
  <si>
    <t>2020-03-02</t>
  </si>
  <si>
    <t>China</t>
  </si>
  <si>
    <t>Cooling and Processing</t>
  </si>
  <si>
    <t xml:space="preserve">Component 1: Green Agriculture Fund (US$285 million, IBRD)
 Component 1 of the proposed project would support the establishment of a dedicated investment 
facility to demonstrate the viability of financing green agriculture investments in Henan by providing financing 
for equity investments and on-lending to eligible firms. </t>
  </si>
  <si>
    <t>US$285 million</t>
  </si>
  <si>
    <t>US%142 Million</t>
  </si>
  <si>
    <t>US$142 million</t>
  </si>
  <si>
    <t>P168153</t>
  </si>
  <si>
    <t>Market Access for Agricultural Products Project</t>
  </si>
  <si>
    <t>Pablo Valdivia Zelaya</t>
  </si>
  <si>
    <t>Paraguay - Market Access for Agricultural Products Project</t>
  </si>
  <si>
    <t>2020-02-26</t>
  </si>
  <si>
    <t>Paraguay</t>
  </si>
  <si>
    <t>FY17 - Agriculture, Fishing and Forestry, FY17 - Industry, Trade and Services, FY17 - Social Protection</t>
  </si>
  <si>
    <t>None</t>
  </si>
  <si>
    <t>P175011</t>
  </si>
  <si>
    <t>Turkey Climate Smart and Competitive Agricultural Growth Project (TUCSAP)</t>
  </si>
  <si>
    <t>Luz Diaz Rios</t>
  </si>
  <si>
    <t>Turkey - Climate Smart and Competitive Agricultural Growth Project</t>
  </si>
  <si>
    <t>2022-03-08</t>
  </si>
  <si>
    <t>Turkiye</t>
  </si>
  <si>
    <t>Storage, processing</t>
  </si>
  <si>
    <t>Subcomponent 3.2: Promoting the adoption of CSA technologies/practices (US$40 million IBRD, US$33 million); Subcomponent 3.3: Reducing animal production pressures on water pollution and GHG emissions (US$15
million IBRD).</t>
  </si>
  <si>
    <t>US$48 million</t>
  </si>
  <si>
    <t>US$24 Millio n</t>
  </si>
  <si>
    <t>US$24 Million</t>
  </si>
  <si>
    <t>P161246</t>
  </si>
  <si>
    <t>Livestock and Dairy Development Project</t>
  </si>
  <si>
    <t>Amadou Ba</t>
  </si>
  <si>
    <t>Bangladesh - Livestock and Diary Development Project</t>
  </si>
  <si>
    <t>2018-11-08</t>
  </si>
  <si>
    <t>Bangladesh</t>
  </si>
  <si>
    <t>FY17 - Industry, Trade and Services, FY17 - Agriculture, Fishing and Forestry, FY17 - Health</t>
  </si>
  <si>
    <t>Cooling, processing</t>
  </si>
  <si>
    <t>Component B: Market linkages and Value‐Chain Development (US$224.65 million, of which IDA US$193.35 million)</t>
  </si>
  <si>
    <t>US$193.35 Mililion</t>
  </si>
  <si>
    <t>US$96 million</t>
  </si>
  <si>
    <t>US$96 Million</t>
  </si>
  <si>
    <t>P170215</t>
  </si>
  <si>
    <t>Rural Enterprise and Economic Development Project</t>
  </si>
  <si>
    <t>Maha Ahmed</t>
  </si>
  <si>
    <t>Nepal - Rural Enterprise and Economic Development Project</t>
  </si>
  <si>
    <t>2020-10-05</t>
  </si>
  <si>
    <t>Nepal</t>
  </si>
  <si>
    <t>Cooling processing</t>
  </si>
  <si>
    <t>Component 3. Restoring and Strengthening COVID-19-Disrupted Food Supply Chain and Local Economy 
($22 million)</t>
  </si>
  <si>
    <t>US$22 million</t>
  </si>
  <si>
    <t>US$11 million</t>
  </si>
  <si>
    <t>P176754</t>
  </si>
  <si>
    <t>Central African Republic (CAR) Emergency Food Crisis Response Project</t>
  </si>
  <si>
    <t>Central African Republic - Emergency Food Crisis Response Project</t>
  </si>
  <si>
    <t>2021-06-14</t>
  </si>
  <si>
    <t>Drainage (water); cooling, processing</t>
  </si>
  <si>
    <t>Subcomponent 1.2: Support food basket distribution and linkages to market opportunities (US$7.6
million equivalent. Subcomponent 2.2: Rehabilitation and maintenance of drainage infrastructure in Bangui (US$14.8
million equivalent</t>
  </si>
  <si>
    <t>US$22.4 million</t>
  </si>
  <si>
    <t>US$3.8 million</t>
  </si>
  <si>
    <t>US$14.8 million</t>
  </si>
  <si>
    <t>P164424</t>
  </si>
  <si>
    <t>Montenegro Second Institutional Development and Agriculture Strengthening Project</t>
  </si>
  <si>
    <t>Montenegro - Second Institutional Development and Agricultural Strengthening Project</t>
  </si>
  <si>
    <t>2017-12-28</t>
  </si>
  <si>
    <t>Montenegro</t>
  </si>
  <si>
    <t>Fish cooling</t>
  </si>
  <si>
    <t>Component 1: Strengthening MARD agriculture, rural development and fisheries program (EUR19.8 million).</t>
  </si>
  <si>
    <t>US$22.96</t>
  </si>
  <si>
    <t>P169021</t>
  </si>
  <si>
    <t>National Agriculture Development Program</t>
  </si>
  <si>
    <t>Guyslain Ngeleza</t>
  </si>
  <si>
    <t>Congo, Democratic Republic of - National Agriculture Development Program Project</t>
  </si>
  <si>
    <t>2021-06-03</t>
  </si>
  <si>
    <t>Congo, Democratic Republic of</t>
  </si>
  <si>
    <t>FY17 - Industry, Trade and Services, FY17 - Agriculture, Fishing and Forestry, FY17 - Transportation</t>
  </si>
  <si>
    <t>cooling and processing</t>
  </si>
  <si>
    <t xml:space="preserve">Sub-component 2.2. Support to Smallholder Farmers’ Market Access (US$40 million) </t>
  </si>
  <si>
    <t>US$40 million</t>
  </si>
  <si>
    <t>US$20 Million</t>
  </si>
  <si>
    <t>P176232</t>
  </si>
  <si>
    <t>Uruguay Agro-Ecological and Climate Resilient Systems Project</t>
  </si>
  <si>
    <t>Uruguay - Agro-ecological and Climate Resilient Systems Project</t>
  </si>
  <si>
    <t>2021-11-03</t>
  </si>
  <si>
    <t>Uruguay</t>
  </si>
  <si>
    <t>P173398</t>
  </si>
  <si>
    <t>Accelerating Impacts of CGIAR Climate Research for Africa (AICCRA)</t>
  </si>
  <si>
    <t>Viviana Perego</t>
  </si>
  <si>
    <t>Western Africa - Accelerating Impacts of CGIAR Climate Research for Africa Project</t>
  </si>
  <si>
    <t>2020-11-16</t>
  </si>
  <si>
    <t>Western Africa</t>
  </si>
  <si>
    <t/>
  </si>
  <si>
    <t>P166279</t>
  </si>
  <si>
    <t>Second Rural Economic Development Initiative (REDI II) Project</t>
  </si>
  <si>
    <t>Kilara Suit</t>
  </si>
  <si>
    <t>Jamaica - Second Rural Economic Development Initiative Project</t>
  </si>
  <si>
    <t>2019-10-23</t>
  </si>
  <si>
    <t>Jamaica</t>
  </si>
  <si>
    <t>Section: Project Description
Content: A. PDO
17. The Project Development Objective is: to enhance access to markets and to climate-resilient approaches for targeted beneficiaries.
18. Climate-resilient approaches are to be viewed as climate-smart approaches that include assets, technologies, and practices to strengthen productivity, adaptation, and mitigation against climate change. Targeted beneficiaries are rural enterprises (micro, small and medium-size or MSMEs) linked to the agricultural and community tourism sectors, as well as relevant public sector institutions and partner entities.
19. The results of the project will be measured through the following set of outcome indicators:
* Percentage of participating rural enterprises that have accessed new markets.
* Percentage of participating rural enterprises operating on or above the projections (gross sales value) of their corresponding business plans.
* Number of targeted beneficiaries reached with climate-resilient approaches supported by the project (of which number of rural enterprises and public institutions).
B. Project Components
20. Enhancement to the REDI I approaches. Building on the experience and results of REDI I, the new project will focus on strengthening value chains and the development of tourism clusters, with an emphasis on the linkages between producers/service providers and buyers, to improve economies of scale for small agricultural and tourism enterprises and to mainstream climate resilience.
21. Component 1. Climate Resilient Agricultural and Community Tourism Investments for Rural Enterprises (Total US$28.0 million, IBRD US$26.0 million and Beneficiary Contribution US$2.0 million). The objective of this component is to promote the development of agricultural/community tourism enterprises that are better integrated in productive partnerships or “alliances" and operate more competitively in selected value chains, with more reliable linkages with buyers and markets and increased capacity to manage climate risks.
22. Through matching grants, Component 1 will finance consulting and non-consulting services, goods, works, and operating costs for demand-driven, competitively selected agriculture/fisheries or community tourism sub-projects presented and implemented by participating rural enterprises to increase their production and to capture and/or increase their market share and level of profits. Financed activities will support the promotion, identification, design, feasibility, and implementation of competitive and climate-resilient investment sub-projects for business investments and ventures established by beneficiary enterprises (small farmer/fisher associations—that is, cooperatives, friendly or benevolent societies, or any formal form of legally established association—agribusinesses, community tourism operators, and related entrepreneurs and handicraft artisans).
23. Sub-projects in the agricultural sector can take numerous forms, including: the introduction of new crop varieties adapted to expected higher temperatures and resistant to drought; counter-seasonal production methods and technologies such as greenhouses; the use of integrated pest management; mechanisms for soil management and increasing soil fertility; the introduction of more efficient irrigation and water harvesting methods and alternative (small-scale) sources of energy, such as solar panels; the development of integrated landscape models comprising livestock, crops, and forestry; improvements in stock breeding and management; new capacity for reducing post-harvest losses and improving food quality; and small group marketing infrastructure such as cold storage facilities, sheds, packing facilities, and sanitary facilities, among others. In the community tourism sector, sub-projects could include the development of new or expansion of existing tourism experiences (eco-hiking trails, waterfalls, mineral baths, culinary expertise, and gastronomic events) and associated equipment for internet access, landscaping, trail development, signage, rehabilitation or safety enhancement of public attractions; construction of simple handicraft markets; equipment for the production, preparation, or packaging of agricultural specialty products, handicrafts, and novelty items (such as basketry, pottery, beauty products, condiments); or gastro-tourism activities and promotion.
24. Rural enterprises will prepare and submit proposals for investment sub-projects, which will be selected for matching grant funding through a competitive evaluation based on previously established criteria, to include (among others) market demand, product quality, technical and financial feasibility, environmental and social sustainability, approaches to enhance climate resiliency, potential for local impact, and the level of participation by women and young people. Matching grants to fund sub-project investments are not to exceed US$500,000 each (including all collaborating enterprises receiving grants within that sub-project partnership) or an average of US$15,000 per individual beneficiary. The cash contribution from beneficiaries will be 5–60 percent of total sub-project costs, depending on the type of beneficiary and the size of the matching grant, in line with specific details provided in the Project Operational Manual (POM). Grants must be used in accordance with the provisions of the approved business plan, recorded in a Sub-project Agreement to be signed between the beneficiaries and the Jamaica Social Investment Fund (JSIF), which will establish how the proceeds must be used. It is estimated that a total of 90 investment sub-projects will be supported through this component, directly benefitting around 200 rural enterprises. Around 9,000 individual members of these rural enterprises will benefit directly from these investments (of which 40 percent will be women and 30 percent youths).
25. Component 2. Institutional Strengthening and Capacity Building for Public Entities (IBRD US$8.0 million). This component aims to strengthen the capacity of relevant public sector institutions—the Ministry of Industry, Commerce, Agriculture, and Fisheries (MICAF), MOT, and JSIF—and associated entities (Rural Agricultural Development Authority (RADA), Tourism Product Development Company (TPDCo), and others) to provide the public infrastructure and quality services needed to promote inclusive rural development (based on the agriculture and tourism nexus) and to ensure the sustainability of the rural enterprises and productive partnerships supported by the project. This component has two subcomponents.
26. Subcomponent 2.1—Public Infrastructure Investments (IBRD US$6.0 million). This subcomponent will finance civil works, goods, and consulting services for the priority public infrastructure investments (to develop new or rehabilitate existing infrastructure) required to improve the efficiency and climate resilience of targeted agri-food and tourism value chains. These investments may include key public or private goods that are currently missing due to market failures or are beyond the capacity of individual sub-projects to provide under Component 1, but that are closely linked to enhancing their success and viability.
27. Examples of such investments for the agriculture sector are: facilities and equipment at the regional or national level (including in ports or airports) for storage, packing, cold chain supply; fresh produce clearing hubs and grading and distribution facilities; agricultural research and development facilities; seed/seedling production and certification facilities; hatcheries; storage banks for high-quality genetic material (germplasm and semen); and expansion or upgrading of hydro-meteorological networks, among others. In the tourism sector, investments may include: extending/enhancing connections to energy networks or developing alternative energy sources; extending/improving local roads; construction of public bathrooms; collection and out-of-view disposal of solid waste; construction of simple handicraft markets; equipment for satellite-based internet access, and so forth. All of these investments will be made either on land owned by the government or on private land that has been voluntarily donated, to avoid economic/physical involuntary resettlement impacts.
28. Public investment sub-projects will be proposed by a relevant public-sector agency or institution participating under REDI II in socio-economic development of the agricultural, fisheries, or tourism sectors; the agency or institutions will retain ownership and be responsible for the quality, management, operation, and maintenance of the facilities and equipment. The POM details the process for developing, revising, approving, and financing public investment sub-projects, including the pre-established criteria for eligibility and prioritization; the basic sub-project requirements; sub-project justification; and feasibility analysis. The amount of grant financing for such investments will be limited to a maximum of US$1.5 million, but the average amount is expected to be significantly lower. It is estimated that at least 4 public infrastructure investments will be financed under this component and benefiting around 10,000 direct individual beneficiaries. They will be climate resilient, especially along shorelines and other vulnerable areas. Where warranted, public-private partnership arrangements will be sought for the operation and maintenance of these investments to ensure their sustainability.
29. Subcomponent 2.2: Technical Assistance and Capacity Building (IBRD US$2.0 million). This subcomponent will finance technical assistance (consultant and non-consultant services, goods, training, workshops, and study tours) to strengthen the capacity of relevant national organizations and other partner entities responsible for assisting the agricultural and community tourism enterprises. Activities to be supported include specific policy a</t>
  </si>
  <si>
    <t>P164052</t>
  </si>
  <si>
    <t>Mali Drylands Development Project</t>
  </si>
  <si>
    <t>Soulemane Fofana</t>
  </si>
  <si>
    <t>Mali - Drylands Development Project</t>
  </si>
  <si>
    <t>2018-05-29</t>
  </si>
  <si>
    <t>Mali</t>
  </si>
  <si>
    <t>FY17 - Industry, Trade and Services, FY17 - Agriculture, Fishing and Forestry, FY17 - Social Protection</t>
  </si>
  <si>
    <t>Irrigation, Cooling processing</t>
  </si>
  <si>
    <t xml:space="preserve">Subcomponent 2.2 Productive infrastructure investments (US$11.00 million, 100 percent IDA).; Subcomponent 2.3 Commercialization investments (US$4.5 million, 100 percent IDA). </t>
  </si>
  <si>
    <t>US$15.5 million</t>
  </si>
  <si>
    <t>US$2.5 Million</t>
  </si>
  <si>
    <t>US$11.00Million</t>
  </si>
  <si>
    <t>US$2.00 Million</t>
  </si>
  <si>
    <t>P161534</t>
  </si>
  <si>
    <t>Climate-Smart Agriculture and Water Management Project</t>
  </si>
  <si>
    <t>Bangladesh - Climate-Smart Agriculture and Water Management Project</t>
  </si>
  <si>
    <t>2021-02-10</t>
  </si>
  <si>
    <t>Fish Cooling</t>
  </si>
  <si>
    <t>;Sub-component 2.2: Support to Climate-Resilient Fisheries Production and Marketing (US$9.73 million, 
of which IDA US$8.33 million).</t>
  </si>
  <si>
    <t>US$8.33 Million</t>
  </si>
  <si>
    <t>P168061</t>
  </si>
  <si>
    <t>HUBEI SMART AND SUSTAINABLE AGRICULTURE PROJECT</t>
  </si>
  <si>
    <t>Wendao Cao</t>
  </si>
  <si>
    <t>China - Hubei Smart and Sustainable Agriculture Project</t>
  </si>
  <si>
    <t>2020-04-29</t>
  </si>
  <si>
    <t>FY17 - Agriculture, Fishing and Forestry, FY17 - Public Administration</t>
  </si>
  <si>
    <t>cooling processing</t>
  </si>
  <si>
    <t>Sub-component 2.3: Strengthening Farmer Cooperatives (IBRD: USD 1.7 million). U</t>
  </si>
  <si>
    <t>US$1.7 Milllion</t>
  </si>
  <si>
    <t>US$.85 Million</t>
  </si>
  <si>
    <t>P177782</t>
  </si>
  <si>
    <t>Emergency Project to Combat the Food Crisis in Cameroon</t>
  </si>
  <si>
    <t>Cameroon - Emergency Project to Combat the Food Crisis Project</t>
  </si>
  <si>
    <t>2022-04-18</t>
  </si>
  <si>
    <t>Processing and Cooling</t>
  </si>
  <si>
    <t>Sub-component 2.1: Support for food production for farmers and agri-food processors (US$24.5 million); Sub-component 2.2 Support to pastoralists and fishermen, and related processing (US$17.5 million)</t>
  </si>
  <si>
    <t>US$42 Million</t>
  </si>
  <si>
    <t>US$17.5 Million</t>
  </si>
  <si>
    <t>US$ 24.5 Million</t>
  </si>
  <si>
    <t>P166222</t>
  </si>
  <si>
    <t>PNG Agriculture Commercialization and Diversification Project</t>
  </si>
  <si>
    <t>Allan Oliver</t>
  </si>
  <si>
    <t>Papua New Guinea - Agriculture Commercialization and Diversification Project</t>
  </si>
  <si>
    <t>2020-03-31</t>
  </si>
  <si>
    <t>Papua New Guinea</t>
  </si>
  <si>
    <t>Livestock cooling and proceesing</t>
  </si>
  <si>
    <t>Subcomponent 2.1: Livestock Productivity (US$2 million). This subcomponent will focus on the 
provision of technical, extension, and collaborative research. Subcomponent 2.2: Productive Partnerships (US$6 million).</t>
  </si>
  <si>
    <t>USD6.00 Million</t>
  </si>
  <si>
    <t>USD3 Million</t>
  </si>
  <si>
    <t>USD 3.00 million</t>
  </si>
  <si>
    <t>P175263</t>
  </si>
  <si>
    <t>Liberia: Rural Economic Transformation Project</t>
  </si>
  <si>
    <t>Kadir Gyasi</t>
  </si>
  <si>
    <t>Liberia - Rural Economic Transformation Project</t>
  </si>
  <si>
    <t>2021-05-11</t>
  </si>
  <si>
    <t>COMPONENT 2: ENHANCING COMPETITIVENESS AND MARKET ACCESS THROUGH PRODUCTIVE ALLIANCES (US$16.5 MILLION: IDA</t>
  </si>
  <si>
    <t>US$16.5 million</t>
  </si>
  <si>
    <t>US$8.5 million</t>
  </si>
  <si>
    <t>US$8 million</t>
  </si>
  <si>
    <t>P175952</t>
  </si>
  <si>
    <t>Strengthening Resilience of the Agriculture Sector Project</t>
  </si>
  <si>
    <t>Hazem Hanbal</t>
  </si>
  <si>
    <t>Tajikistan - Strengthening Resilience of the Agriculture Sector Project</t>
  </si>
  <si>
    <t>2021-05-25</t>
  </si>
  <si>
    <t>Tajikistan</t>
  </si>
  <si>
    <t>Component 2: Support investments in Agri-Logistical Centers (ALCs)50 for horticulture value chains (US$14.0 million</t>
  </si>
  <si>
    <t>US$14million</t>
  </si>
  <si>
    <t>US$7 million</t>
  </si>
  <si>
    <t>P171331</t>
  </si>
  <si>
    <t>Land Allocation for Social and Economic Development Project III</t>
  </si>
  <si>
    <t>Cambodia - Third Land Allocation for Social and Economic Development Project</t>
  </si>
  <si>
    <t>2020-06-04</t>
  </si>
  <si>
    <t>Irrigation, cooling and processing</t>
  </si>
  <si>
    <t>Component 2: Community Infrastructure Development (approx. US$57 million; US$47 million IDA;   Component 3: Agriculture and Livelihood Development (approx. US$20 million; IDA Credit)</t>
  </si>
  <si>
    <t>US$67 million</t>
  </si>
  <si>
    <t>US$10 million</t>
  </si>
  <si>
    <t>US$47 million</t>
  </si>
  <si>
    <t>US$10 Million</t>
  </si>
  <si>
    <t>P171613</t>
  </si>
  <si>
    <t>Cote d'Ivoire Agri-Food Sector Development Project</t>
  </si>
  <si>
    <t>Jean-Philippe Tre</t>
  </si>
  <si>
    <t>Cote d~^!!^Ivoire - Agri-Food Sector Development Project</t>
  </si>
  <si>
    <t>cooling, and processing</t>
  </si>
  <si>
    <t>COMPONENT 2: BUILDING PRODUCTIVE AND RESILIENT AGRI-FOOD VALUE CHAINS (TOTAL: US$138.0 MILLION; IDA:
US$138.0 MILLION EQUIVALENT</t>
  </si>
  <si>
    <t>US$138 million</t>
  </si>
  <si>
    <t>US$69 million</t>
  </si>
  <si>
    <t>P176129</t>
  </si>
  <si>
    <t>Yemen Food Security Response and Resilience Project</t>
  </si>
  <si>
    <t>Artavazd Hakobyan</t>
  </si>
  <si>
    <t>Yemen - Food Security Response and Resilience Project</t>
  </si>
  <si>
    <t>2021-04-26</t>
  </si>
  <si>
    <t>Yemen</t>
  </si>
  <si>
    <t>FY17 - Agriculture, Fishing and Forestry, FY17 - Social Protection</t>
  </si>
  <si>
    <t>Fish cooling and processing</t>
  </si>
  <si>
    <t xml:space="preserve">Component 2: Increasing production and sale of nutritious crop, livestock and fish products (US$35.0 </t>
  </si>
  <si>
    <t>US$25 million</t>
  </si>
  <si>
    <t>US$13 million</t>
  </si>
  <si>
    <t>US$12 Million</t>
  </si>
  <si>
    <t>P173702</t>
  </si>
  <si>
    <t>Emergency Locust Response Program</t>
  </si>
  <si>
    <t>Mohammad Alvi</t>
  </si>
  <si>
    <t>Djibouti, Ethiopia, Kenya and Uganda - Emergency Locust Response Program - Phase 1</t>
  </si>
  <si>
    <t>2020-05-06</t>
  </si>
  <si>
    <t>Eastern Africa</t>
  </si>
  <si>
    <t>none</t>
  </si>
  <si>
    <t>P173487</t>
  </si>
  <si>
    <t>Agriculture Value Chain Development Project (ICARE)</t>
  </si>
  <si>
    <t>Myriam Chaudron</t>
  </si>
  <si>
    <t>Indonesia - Agriculture Value Chain Development Project (ICARE)</t>
  </si>
  <si>
    <t>2022-05-15</t>
  </si>
  <si>
    <t>Indonesia</t>
  </si>
  <si>
    <t>Processing and cooling</t>
  </si>
  <si>
    <t>Component A: Strengthening value chains in selected Kawasan Pertanian (agri-zone clusters) (Total:
64.39 million [IBRD: US$55.29 million; Beneficiary:
34 US$9.10 million]_x000D_</t>
  </si>
  <si>
    <t>US$55.29 million</t>
  </si>
  <si>
    <t>US$27.64 miliion</t>
  </si>
  <si>
    <t>US$27.64</t>
  </si>
  <si>
    <t>P167455</t>
  </si>
  <si>
    <t>Ceara Rural Sustainable Development and Competitiveness Phase II</t>
  </si>
  <si>
    <t>Marie Paviot</t>
  </si>
  <si>
    <t>Brazil - Second Phase of Ceara Rural Sustainable Development and Competitiveness Project</t>
  </si>
  <si>
    <t>2019-06-19</t>
  </si>
  <si>
    <t>Brazil</t>
  </si>
  <si>
    <t>FY17 - Water, Sanitation and Waste Management, FY17 - Social Protection, FY17 - Agriculture, Fishing and Forestry, FY17 - Industry, Trade and Services</t>
  </si>
  <si>
    <t>irrigation , processing and cooling</t>
  </si>
  <si>
    <t xml:space="preserve">Subcomponent 1.1: Strengthening Organizations for Enhanced Market Access (US$60.24 million; IBRD loan 
US$37.88 million). Component 2 – Rural Water Supply and Sanitation Access (US$53.09 million; IBRD loan US$35.35 million). </t>
  </si>
  <si>
    <t>US$73.23 million</t>
  </si>
  <si>
    <t>US$18.94 million</t>
  </si>
  <si>
    <t>US$35.35 million</t>
  </si>
  <si>
    <t>P169120</t>
  </si>
  <si>
    <t>South Sudan Resilient Agricultural Livelihoods Project</t>
  </si>
  <si>
    <t>Juvenal Nzambimana</t>
  </si>
  <si>
    <t>South Sudan - Resilient Agricultural Livelihoods Project</t>
  </si>
  <si>
    <t>2021-05-09</t>
  </si>
  <si>
    <t>Component 2: Investment Support for Improved Agricultural Production (US$35.16 million equivalent)</t>
  </si>
  <si>
    <t>US$35 million</t>
  </si>
  <si>
    <t>US$17.5 million</t>
  </si>
  <si>
    <t>P174002</t>
  </si>
  <si>
    <t>Sustainable Rural Economy Program</t>
  </si>
  <si>
    <t>Blessings Botha</t>
  </si>
  <si>
    <t>Mozambique - Sustainable Rural Economy Program Project</t>
  </si>
  <si>
    <t>2021-05-17</t>
  </si>
  <si>
    <t>Mozambique</t>
  </si>
  <si>
    <t>Component 1. Increasing productivity and market access (US$109 million equivalent)</t>
  </si>
  <si>
    <t>US$109 million</t>
  </si>
  <si>
    <t>US$54.5 million</t>
  </si>
  <si>
    <t>P162316</t>
  </si>
  <si>
    <t>Integrated Risk Management in the Rural Agroindustrial System</t>
  </si>
  <si>
    <t>Irene Wasilevsky</t>
  </si>
  <si>
    <t>Argentina - Integrated Risk Management in the Rural Agroindustrial System Project</t>
  </si>
  <si>
    <t>2018-05-02</t>
  </si>
  <si>
    <t>FY17 - Agriculture, Fishing and Forestry, FY17 - Information and Communications Technologies</t>
  </si>
  <si>
    <t>Component 2: Agricultural Risk Mitigation Investments (US$143.7 million, of which US$ 115 miion</t>
  </si>
  <si>
    <t>US$143.8 million</t>
  </si>
  <si>
    <t>US$71.85 million</t>
  </si>
  <si>
    <t>P172769</t>
  </si>
  <si>
    <t>West Africa Food System Resilience Program (FSRP)</t>
  </si>
  <si>
    <t>Ashwini Sebastian</t>
  </si>
  <si>
    <t>Burkina Faso, Mali, Niger, Togo, Chad, Ghana, Sierra Leone - West Africa Food System Resilience Program</t>
  </si>
  <si>
    <t>2021-10-24</t>
  </si>
  <si>
    <t>COMPONENT 2: SUSTAINABILITY AND ADAPTIVE CAPACITY OF THE FOOD SYSTEM’S PRODUCTIVE BASE
[US$168.9 million IDA; US$17.5 million GAFSP; US$7.3 million Dutch TF]</t>
  </si>
  <si>
    <t>US$8.75 million</t>
  </si>
  <si>
    <t>P164184</t>
  </si>
  <si>
    <t>Guinea Commercial Agriculture Development Project</t>
  </si>
  <si>
    <t>Jeanne Coulibaly Y epse Oyolola</t>
  </si>
  <si>
    <t>Guinea - Commercial Agriculture Development Project</t>
  </si>
  <si>
    <t>2020-08-25</t>
  </si>
  <si>
    <t>Guinea</t>
  </si>
  <si>
    <t>FY17 - Industry, Trade and Services, FY17 - Transportation</t>
  </si>
  <si>
    <t>Program Component 1: Improving Market Access in Targeted Areas (US$174 million, of which US$97 million 
IDA) – Phase 1 (US$57 million, of which US$52 million IDA)_x000D_</t>
  </si>
  <si>
    <t>US$97 million</t>
  </si>
  <si>
    <t>P168385</t>
  </si>
  <si>
    <t>Integrating Innovation for Rural Competitiveness in Honduras - COMRURAL II</t>
  </si>
  <si>
    <t>Francisco Bueso Ucles</t>
  </si>
  <si>
    <t>Honduras - Integrating Innovation for Rural Competitiveness in Honduras Project</t>
  </si>
  <si>
    <t>2019-06-05</t>
  </si>
  <si>
    <t>Honduras</t>
  </si>
  <si>
    <t xml:space="preserve">. Component 2: Support to the modernization of Honduras’ agribusiness enabling environment (US$9.7 million 
IDA credit). </t>
  </si>
  <si>
    <t xml:space="preserve">US$9.7 million </t>
  </si>
  <si>
    <t>US$4.85 million</t>
  </si>
  <si>
    <t>P177072</t>
  </si>
  <si>
    <t>Emergency Resilient Agriculture for Food Security Project</t>
  </si>
  <si>
    <t>Haiti - Emergency Resilient Agriculture for Food Security Project</t>
  </si>
  <si>
    <t>2022-03-03</t>
  </si>
  <si>
    <t>Haiti</t>
  </si>
  <si>
    <t>FY17 - Social Protection, FY17 - Agriculture, Fishing and Forestry</t>
  </si>
  <si>
    <t>Component 2: Increase climate- and nutrition-smart agricultural production (US$38 million equivalent</t>
  </si>
  <si>
    <t>US$38 million</t>
  </si>
  <si>
    <t>US$19 million</t>
  </si>
  <si>
    <t>P176017</t>
  </si>
  <si>
    <t>Second Rural Enterprise Development Project</t>
  </si>
  <si>
    <t>Dilshod Khidirov</t>
  </si>
  <si>
    <t>Uzbekistan - Second Rural Enterprise Development Project</t>
  </si>
  <si>
    <t>Uzbekistan</t>
  </si>
  <si>
    <t>FY17 - Industry, Trade and Services</t>
  </si>
  <si>
    <t>Colling and processing</t>
  </si>
  <si>
    <t xml:space="preserve">Component 1: Enterprise Development (IDA US$20.0 million). </t>
  </si>
  <si>
    <t>US$20 million</t>
  </si>
  <si>
    <t>P174328</t>
  </si>
  <si>
    <t>Innovation for Rural Competitiveness Project - COMRURAL III</t>
  </si>
  <si>
    <t>Honduras - Innovation for Rural Competitiveness Project</t>
  </si>
  <si>
    <t>2021-05-23</t>
  </si>
  <si>
    <t>Component 1: Enhancing Competitiveness and Resilience in Prioritized Value Chains (US$124.1 million, of which IDA: 
US$78 million; commercial financing: US$28 million; beneficiary contributions: US$18.1 million)_x000D_</t>
  </si>
  <si>
    <t>US$124.1 million</t>
  </si>
  <si>
    <t>US$62.07 million</t>
  </si>
  <si>
    <t>P178566</t>
  </si>
  <si>
    <t>Food Systems Resilience Program for Eastern and Southern Africa</t>
  </si>
  <si>
    <t>Elliot Mghenyi</t>
  </si>
  <si>
    <t>Ethiopia, Madagascar, Intergovernmental Authority on Development (IGAD), and Centre for Coordination of Agricultural Research and Development for Southern Africa (CCARDESA) - Food Systems Resilience Program</t>
  </si>
  <si>
    <t>2022-05-23</t>
  </si>
  <si>
    <t>Pillar 4: Suporting Ag Food value chain</t>
  </si>
  <si>
    <t>P178132</t>
  </si>
  <si>
    <t>West Africa Food System Resilience Program (FSRP) Phase 2</t>
  </si>
  <si>
    <t>Western and Central Africa –  West Africa Food System Resilience Program (FSRP)</t>
  </si>
  <si>
    <t>2022-07-07</t>
  </si>
  <si>
    <t>COMPONENT 3: REGIONAL FOOD MARKET INTEGRATION AND TRADE (IDA US$64.19 million equivalent 
[US$28.20 million Chad, US$24.79 million Ghana, US$11.20 million Sierra Leone]</t>
  </si>
  <si>
    <t>US$64.19 million</t>
  </si>
  <si>
    <t>US$32.09 million</t>
  </si>
  <si>
    <t>P173197</t>
  </si>
  <si>
    <t>Regional Sahel Pastoralism Support Project II</t>
  </si>
  <si>
    <t>Erick Abiassi</t>
  </si>
  <si>
    <t>Burkina Faso, Chad, Mali, Mauritania, Niger, Senegal and Permanent Interstate Committee for Drought Control in the Sahel - Second Regional Sahel Pastoralism Support Project</t>
  </si>
  <si>
    <t>2021-03-08</t>
  </si>
  <si>
    <t>FY17 - Social Protection, FY17 - Agriculture, Fishing and Forestry, FY17 - Water, Sanitation and Waste Management, FY17 - Education</t>
  </si>
  <si>
    <t>Component 3: Livestock value chain improvement (total cost US$58.2 million equivalent, of which US$54.9
million IDA, US$3.2 million Beneficiaries and US$0 million Government)</t>
  </si>
  <si>
    <t>US$54.9 million</t>
  </si>
  <si>
    <t>US$27.45 million</t>
  </si>
  <si>
    <t>P168310</t>
  </si>
  <si>
    <t>State of Maharashtra's Agribusiness and Rural Transformation Project</t>
  </si>
  <si>
    <t>Adarsh Kumar</t>
  </si>
  <si>
    <t>India - State of Maharashtra Agribusiness and Rural Transformation Project</t>
  </si>
  <si>
    <t>2019-11-21</t>
  </si>
  <si>
    <t xml:space="preserve">Component B: Expanding Market Access and Supporting Enterprise Growth (component cost of 
US$204.50M, of which IBRD US$143.10M, GoM US$51.40M, and VSFT US$10.00M). </t>
  </si>
  <si>
    <t>US$143.10 million</t>
  </si>
  <si>
    <t>US$71.55 million</t>
  </si>
  <si>
    <t>P165945</t>
  </si>
  <si>
    <t>Livestock Commercialization Project</t>
  </si>
  <si>
    <t>Sitaramachandra Machiraju</t>
  </si>
  <si>
    <t>Mongolia - Livestock Commercialization Project</t>
  </si>
  <si>
    <t>2019-11-20</t>
  </si>
  <si>
    <t>Mongolia</t>
  </si>
  <si>
    <t>FY17 - Information and Communications Technologies, FY17 - Agriculture, Fishing and Forestry</t>
  </si>
  <si>
    <t>Component 2: Value Chain Commercialization (US$8 million) _x000D_</t>
  </si>
  <si>
    <t xml:space="preserve">US$8 million </t>
  </si>
  <si>
    <t>US$ 4 milion</t>
  </si>
  <si>
    <t>u</t>
  </si>
  <si>
    <t>US$ 4 million</t>
  </si>
  <si>
    <t>Total PUE investment (cleaned)</t>
  </si>
  <si>
    <t>Processing</t>
  </si>
  <si>
    <t xml:space="preserve">
The achievement of the PDO will be measured by the following indicators:
*   IND1: Reduction in water losses (m3);
*   IND2: Water productivity at farm level (kg/m3);
*   IND3: Production area for high-value crops (ha);
*   IND4: Private capital investment mobilized (US$ million); and
*   IND5: Project beneficiaries: farmers reached with agricultural assets or services (and percentage share of women).
</t>
  </si>
  <si>
    <t xml:space="preserve">PDO Level Indicators
16. The proposed PDO level indicators are:
b) Reduction of the differences in water availability among head, middle, and tail end users of watercourses (percentage)
c) Increased agricultural output per unit of water used at farm level (kg/m³) for wheat (percentage)
d) Increased agricultural output per unit of water used at farm level (kg/m³) for rice (percentage)
e) Increased share of area under high-value crops (HVC) cultivation (percentage)
</t>
  </si>
  <si>
    <t xml:space="preserve">Section: PROJECT DESCRIPTION
Content: As listed**A. Project Development Objective**
21. Project Development Objective (PDO) statement. The proposed Project Development Objectives are to facilitate the development of diversified agriculture value chains in selected geographical areas in Cambodia, and to provide immediate and effective response in case of an eligible crisis or emergency.
22. PDO-level indicators. The achievement of the first part of the PDO will be measured through the following indicators: (a) increase in the volume and value of gross sales at benefitting farms (percentage), (b) increase in the value of gross sales of benefitting agribusinesses (percentage), and (c) share of non-rice production area of participating farmers (percentage)
</t>
  </si>
  <si>
    <t xml:space="preserve">Project Development Objective
PDO Statement
34. The project development objective (PDO) is to increase productivity and market access for selected agri-food value chains in Benin.
PDO Level Indicators
35. The following key performance indicators (KPIs) are proposed to measure outcomes at the PDO level:
(i) Increase in volume of agri-food products commercialized (%) by project supported beneficiaries in targeted value chains
(ii) Increase in yields of selected value chains for pineapple and cashews.
</t>
  </si>
  <si>
    <t xml:space="preserve">Section: Project Description
Content:
A. Project Development Objective (PDO)
PDO Statement
18. The Project Development Objectives are to (i) increase agricultural productivity and the adoption of climate-smart agricultural approaches among project beneficiaries; and (ii) respond effectively to an Eligible Crisis or Emergency event.
PDO Level Indicators
19. The results of the Project will be measured via the following PDO indicators:
(i) Increase in the yield of crop and livestock products (maize, onions, sweet peppers, beef cattle) produced by targeted beneficiaries (percentage increase), disaggregated by gender;
(ii) Farmers who have adopted an agricultural technology (number), disaggregated by gender (CRI); and
(iii) Land area under sustainable land management practices (hectares) (CRI).
</t>
  </si>
  <si>
    <t xml:space="preserve">Section: Project Description
Content:
A. Project Development Objective
PDO Statement
16. The Project Development Objective is to intensify and diversify agricultural production, and enhance climate resilience in selected districts of Odisha.
PDO Level Indicators
17. Proposed PDO level indicators include: (i) increase in productivity of selected agricultural commodities supported by the project (percent); (ii) increase in productivity of water use at tank level (percent); (iii) share of non-paddy products in total production in project areas (percent); (iv) farmers adopting improved agricultural technology (number); and (v) share of target beneficiaries with rating “Satisfied” or above on process and impact of project interventions (percent).
</t>
  </si>
  <si>
    <t xml:space="preserve">Section: Project Description
Content: A. Project Development Objective
PDO Statement
20. The objective of the Project is to increase agricultural productivity and market access for small producers and small and medium agribusiness entrepreneurs for selected value chains in the Project Areas.
PDO Level Indicators
21. Key Performance Indicators (KPIs) include:
a) Increase in yields of targeted crops achieved by primary project beneficiaries (disaggregated by commodities); and
b) Increase in the volume of market sales of targeted crop commodities produced by primary project beneficiaries (disaggregated by commodities).
.
</t>
  </si>
  <si>
    <t xml:space="preserve">Section: Project Description
Content: A. Project Development Objective
The Project Development Objective (PDO) is: To improve upstream watershed management and increase agricultural water productivity in selected Gram Panchayats in Himachal Pradesh.
The project will have the following PDO indicators:
* New farm area brought under higher efficiency irrigation through project support in targeted GPs (Hectares)
* Share of participating farmers adopting climate smart agriculture practices (Percentage, gender disaggregated)
* Land area under sustainable landscape management practices (Corporate Results Indicator (CRI), Hectares (Ha))
* Number of reforms recommended by the institutional assessments that are implemented (Number)
* Share of participating farmers who give a rating of “Satisfied” or above on process and realized benefits of project interventions (Percentage, gender disaggregated) (Citizen Engagement Indicator)
</t>
  </si>
  <si>
    <t xml:space="preserve">Section: Project Description
Content: A. Project Development Objective
21. PDO Statement. The development objectives of the proposed Project are to: (i) support economic recovery and promote climate smart practices among Project beneficiaries in Argentina´s agri-food system; and (ii) respond effectively in case of an eligible crisis or emergency.
PDO Level Indicators
PDO Theme: Economic recovery
PDO Outcome Indicators:
1. Jobs created or maintained under initiatives supported by the Project (cumulative numbers of people employed (full-time equivalent), disaggregated for type of job, gender and age group.
2. Increase in volume of sales of the agro-industrial MSMEs or producer organizations benefited by subprojects under the Project (percentage).
3. Subprojects by agro-industrial MSME’s or producer organizations operational and/or maintained 12 months after the investment completion (percentage).
PDO Theme: Climate smart practices
PDO Outcome Indicators:
4. Beneficiaries with access to new or improved rural public infrastructure for agricultural risk mitigation and/or natural resources management (cumulative number), disaggregated for gender, age group and Indigenous Peoples (IPs)/Afro-descendants.
5. Subprojects financing the adoption of climate smart agriculture technologies and-or practices to anticipate and prevent negative impacts of climate (cumulative number).
6. New climate smart technologies and practices to avoid negative impacts of climate developed by INTA under the Project (cumulative number).
</t>
  </si>
  <si>
    <t xml:space="preserve">Section: Project Description
Content: A. Project Development Objective
PDO Statement
Improve competitiveness in targeted agricultural sub-sectors and strengthen agricultural public sector readiness for EU accession.
PDO Level Indicators
22. The achievement of the project outcomes will be measured through the following PDO-level indicators:
(a) Farmers adopting improved agricultural technology. (Definition: This is a corporate results indicator. In the context of the project, this indicator measures the number of project beneficiaries who have adopted an improved agriculture technology promoted by the project. This refers to beneficiaries’ acquired knowledge in modern production techniques, including better pest and disease control, improved production practices, and climate-smart practices, which will allow them to be more competitive in the market.)
(b) Percentage of agricultural produce marketed in compliance with quality standards. (Definition: This indicator measures the changes in quantity and quality of marketed agricultural produce by using information from the records of the Collection and Conditioning Centers (CCCs) on (a) volume purchased from beneficiary farmers and (b) produce class sorting for the main project-supported crops. Improvements are expected in terms of volume bought by the CCCs and the quality of the produce, reflecting enhancements related to food safety, food hygiene and product quality classifications.)
(c) Share of EU CAP 2021-2027 Performance Monitoring and Evaluation Framework Indicators recorded in North Macedonia. (Definition: This indicator measures the change of the Monitoring and Evaluation system for agricultural and rural development policy design and implementation supported by the project in terms of its coherence with the European Union's Common Agricultural Policy post-2020 requirements, as envisaged in the CAP post-2020 Performance Monitoring and Evaluation Framework.)
(d) Tons of animal by-products safely disposed annually at the animal by-product facility. (Definition: This indicator measures the change of safely disposed ABP at the project-supported facility, in compliance with EU requirements.)
</t>
  </si>
  <si>
    <t>*   **Component 1 (Sustainable Producti</t>
  </si>
  <si>
    <t xml:space="preserve">Section: Project Description
Content: As listed**A. Project Development Objective**
**PDO Statement**
23. The objectives of the project are to increase the use of irrigation and commercialization among producers and agribusiness firms in supported value chains and to increase access to agriculture finance.
24. The target beneficiaries will be farmers’ cooperatives, commercial farmers and small and medium-sized agri-enterprises (agri-SMEs).
**PDO Level Indicators**
25. The Project Development Objective-level indicators are the following:
(i) Increase in share of agricultural produce sold by participating producers.
(ii) Increase in the cultivated area being irrigated in new and rehabilitated schemes.
(iii) Increase in value of agricultural production quantities procured by participating aggregators (cooperative and contract buyers).
(iv) Increase in number of borrowers obtaining agricultural loans from participating financial institutions.
(v) Total number of benefitting households reached by the project.
</t>
  </si>
  <si>
    <t xml:space="preserve">Section: Project Description
Content: A. Project Development Objective
PDO Statement
19. To improve livestock health, productivity, and commercialization of targeted value chains in project locations and to provide immediate and effective response in the event of an eligible crisis or emergency.
PDO Level Indicators
(a) Reduced prevalence of priority diseases in project intervention areas (percentage)
(b) Increased yield of livestock products (meat and dairy) (percentage)
(c) Increased inflation-adjusted value of livestock products (percentage)
</t>
  </si>
  <si>
    <t xml:space="preserve">Section: Project Description
Content:
A. Project Development Objective
PDO Statement
PDO Level Indicators
a) Increase in net price realization at producer level; (measured in real terms by increase over baseline in value of marketed output less costs);
b) Full time equivalent (FTE) jobs generated in beneficiary firms (disaggregated by gender and social category, with a target for women and SC/ST populations); (measured by number of incremental FTE jobs, where beneficiary firms refer to project supported CBOs and enterprises)
c) Farmers reached with agricultural assets or services (CRI) (disaggregated by gender and social category); and,
d) Private sector finance mobilized by the project (measured by amount of equity and debt raised through subprojects and project beneficiaries, including private sector contribution through VSTF).
</t>
  </si>
  <si>
    <t xml:space="preserve">Section: Project Description
Content:
**A. Project Development Objective**
30. The Project Development Objective (PDO) is to improve the resilience of pastoralists and agro-pastoralists in selected areas in the Sahel Region.
31. As defined by the United Nations Food and Agriculture Organization (FAO), the resilience of a household depends primarily on the options available for making a living. In the context of PRAPS-2, the resilience of (agro)pastoralists is determined primarily by: (i) sustained and maintained assets (livestock); (ii) sustained and maintained ecosystems; and (iii) sustained and maintained means of making a living and generating income.
PDO Level Indicators
32. The PDO-level indicators include:
(i) Vaccination coverage rate for CBPP (percentage, by country and regional level)
(ii) Number of small ruminants vaccinated and marked against PPR (number, by country and regional level)
(iii) Land area under SLM practices (hectares, by country and regional level) (corporate results indicator (CRI))
(iv) Income increase of pastoral household generated with the support of the Project (percentage, by country)
</t>
  </si>
  <si>
    <t xml:space="preserve">Section: Project Description
Content: As listed**A. Program Development Objective (PrDo)**
27. The PrDO is to increase preparedness against food insecurity and improve the resilience of food systems in participating countries.
**Summarized Table :**
*   The program targets a total of 2,045,200 beneficiaries across all Phase 2 countries, with a goal of 40% female beneficiaries.
*   Country-specific beneficiary targets are: Ghana (1,080,000), Chad (600,000), and Sierra Leone (365,200), each with a 40% female beneficiary target.
*   A key objective is a 25% reduction in the number of food insecure people within the program's targeted areas for each country.
*   The program aims for 406,200 food system actors to access hydro and agrometeorological advisory services, with 40% being women.
*   It targets 480,000 producers adopting Climate-Smart Agriculture (CSA) technologies, with a 40% female beneficiary target.
*   The total land area to be brought under integrated landscape management practices is 11,850 hectares.
*   The target for intra-regionally traded production in selected value chains is to increase from a 20% baseline to 30%.
</t>
  </si>
  <si>
    <t xml:space="preserve">
</t>
  </si>
  <si>
    <t xml:space="preserve">Section: Project Description
Content: As listedA. Project Development Objective
17. The PDO is (i) to contribute to market access, adoption of climate-smart approaches, and job creation in support of project beneficiaries in selected agri-food value chains; and (ii) in case of an Eligible Crisis or Emergency, to respond effectively to it.
18. Achievement of the PDO will be measured through the following indicators:
a. Increase in the value of gross sales of approved business plans from the second year of project execution (percent).
b. Beneficiaries adopting improved technologies promoted by the Project to enhance climate resilience, disaggregated by gender, youth, IPs/ADs (number).
c. Additional individuals working under investment initiatives financed by the Project, disaggregated by gender, youth, IPs/ADs (number).
</t>
  </si>
  <si>
    <t xml:space="preserve">Section: Project Description
Content: A. Project Development Objective
16. The project development objective is to support the expansion of rural enterprise activity, investments and job creation in regions supported by the project. The project will be implemented in 10 regions (Tashkent, Syrdarya, Jizzak, Samarkand, Kashkadarya, Surkhandarya, Navoiy, Bukhara, Khorezm and Karakalpakistan) representing the remaining regions not covered in FVREDP. The choice of nation-wide coverage was based on Government’s strong interest in maximizing the coverage of the project’s investment across the country and building a base for expading access to entreprenurship support.
</t>
  </si>
  <si>
    <t>Section: Project Description
Content:
The Project Development Objective (PDO) is to support project beneficiaries’ access to nutritious food, and increase climate- and nutrition-smart agricultural production, including in earthquake-affected areas.
**A. Project Development Objective**
PDO Statement
The Project Development Objective (PDO) is to support project beneficiaries’ access to nutritious food, and increase climate- and nutrition-smart agricultural production, including in earthquake-affected areas.
PDO Level Indicators
Outcome 1: Project beneficiaries' access to nutritious food will be measured by:
*   Targeted beneficiaries with improved Food Insecurity Experience Scale (FIES) ratings (number), including the proportion that are female (percentage).
O</t>
  </si>
  <si>
    <t xml:space="preserve">Section: Project Description
Content: As listedA. Project Development Objective (PDO)
PDO Statement
The PDO is to improve access to markets and climate-smart practices and contribute to the economic inclusion of targeted beneficiaries in select agricultural value chains.
Indicators
Achievement of the PDO will be measured through the following indicators:
*   Farmers adopting improved agricultural technology (Number)
*   Jobs (full-time) created under business plans financed by the project (Number)
*   Increase in gross sales generated by business plans in implementation (Percentage)
*   Rural producer organizations (RPOs) working under a productive alliance approach 24 months after first disbursement (Percentage)
</t>
  </si>
  <si>
    <t>Section: Project Description
Content: A. Project Development Objective
PDO Statement
36. The PDO is to increase the number of farmers and rural households benefitting from commercial agriculture value-chains in Program’s Areas
37. The PDO for the proposed Phase 1 is same as the PrDO, with a particular focus of Program intervention on Boké and Kindia areas.
PDO Level Indicators
38. The proposed PDO-level performance indicators are:
(i) Number of jobs created along the agricultural value-chains, disaggregated by gender;
(ii) Number of farmers and rural households provided with commercial opportunities in the agricultural value-chains, disaggregated by gender.
h</t>
  </si>
  <si>
    <t xml:space="preserve">Section: Project Description
Content:
**A. Project Development Objective**
The PDO is to increase preparedness against food insecurity and improve the resilience of food systems in Burkina Faso.
</t>
  </si>
  <si>
    <t xml:space="preserve">
**A. Project Development Objective**
25. The Project Development Objective (PDO) is to promote the development of inclusive, resilient, and competitive agricultural value chains, focusing on smallholder farmers and agribusinesses in project target areas.
26. The PDO-level performance indicators are: (i) Increase in the volume of marketed output by project direct beneficiaries (percentage, disaggregated by women, youth, smallholders, and Small and Medium Enterprises– SMEs); (ii) Increase in yield of targeted agricultural commodities by project direct beneficiaries (percentage, disaggregated by crop); (iii) Farmers reached with agricultural assets or services (core indicator–number, disaggregated by women and youth); and (iv) Farmers using/adopting climate-smart technologies (number, disaggregated by women and youth).
 </t>
  </si>
  <si>
    <t xml:space="preserve">Section: Project Description
Content:
A. Project Development Objective
PDO Statement
20. The project development objective (PDO) is to increase agricultural production and improve market access in selected value chains in the Project Provinces, and in case of an Eligible Crisis or Emergency, respond promptly and effectively to it.
21. PDO level indicators are as follows:
(a) Beneficiary agri-producers reporting increased agricultural production (Percentage)
(b) Increase in sales, by quantity, reported by farmers participating in agribusiness producer organizations (Percentage) (presented by three commodity-specific indicators of cocoa, coconut, and poultry)
(c) Farmers adopting improved agricultural technology (number, disaggregated by gender)
(d) Direct project beneficiaries (disaggregated by gender).
 </t>
  </si>
  <si>
    <t xml:space="preserve">Section: Project Description
Content:
A. Project Development Objective
PDO Statement
To improve agri-food market linkages of targeted beneficiaries.
PDO Level Indicators
14. The proposed PDO will be achieved by increasing the productivity and efficiency of targeted beneficiaries through improved access to technical support, information and finance.
15. The PDO will be measured through the following indicators:
(a) New formal contracts signed between beneficiaries and buyers of their products/services (Number)
* New formal contracts signed between women beneficiaries and buyers of their products/services (Number)
(b) Increase in the value of beneficiaries’ production (Percentage)
</t>
  </si>
  <si>
    <t xml:space="preserve">
PDO Statement
34. The Project Development Objective (PDO) is to provide sustainable irrigation and drainage services and to improve agricultural production in the irrigated areas of the Benue Valley. Sustainable irrigation means that the benefits will last beyond the project, preserving the quality of the soil, water, and production, based on environmentally friendly agricultural practices, solid farmers’ organizations and sustained technical assistance. This will be measured by the value of agricultural production.
PDO-Level Indicators
35. The PDO level indicators are:
(a) Total area irrigated (hectares);
(b) Irrigation scheme management transferred to Water Users Associations (hectares);
(c) Area prepared by private enterprises (hectares);
(d) Value of agricultural production in rehabilitated and improved irrigation areas (CFA million /year); and
(e) Direct beneficiaries (number), disaggregated by female (percentage).
</t>
  </si>
  <si>
    <t xml:space="preserve">Section: Project Description
Content: 23. Project area. The targeted project intervention zones are: (i) Ouham and Ouham-Pendé regions in the north-western part of the country; (ii) Bamingui Bangoran and Vakaga regions in the north-eastern part; and (iii) Ouaka around Bambari in the central corridor. In addition, Bangui will benefit from targeted interventions. These regions were selected based upon the following considerations: (i) high agriculture production potential; (ii) presence of ongoing rural road rehabilitation works; (iii) potential for creating jobs; (iv) no ongoing conflict; (v) incidence of food insecurity and malnutrition. Additional information on the targeted project area is provided in Annex1.
</t>
  </si>
  <si>
    <t xml:space="preserve">Section: Project Description
Content:
A. Project Development Objective
PDO Statement
Improve livelihoods of the poor and extreme poor, enhance their resilience and support rural entrepreneurship in project areas.
PDO Level Indicators
19. Key indicators to measure the achievement of the Project Development Objective (PDO) include:
i. Number of beneficiaries with an income increase of at least 30 percent from Income Generating Activities and increased employment (of which, female);
ii. Share of beneficiaries in RELI villages changing poverty status (of which, female);
iii. Share of beneficiaries who are satisfied with project activities;
iv. Number of producers and rural entrepreneurs with increased income of at least 40 percent (of which, female); and
v. Share of beneficiaries with improved resilience (of which, female).
D. Results Chain
33. The PDO will be achieved through a Theory of Change, illustrated in figure 1. Project activities build on the resilience concept, which is defined by the Food and Agriculture Organization (FAO) as: "The ability to prevent disasters and crises as well as to anticipate, absorb, accommodate or recover from them in a timely, efficient and sustainable manner. This includes protecting, restoring and improving livelihoods systems in the face of threats that impact agriculture, nutrition, food security and food safety.” To strengthen livelihoods, rural entrepreneurship, and resilience to climate change and to crises such as COVID-19, the project will contribute to addressing the following problems: (a) poor and extreme poor rural populations in target areas lack access to basic assets, services and skills to make a living and improve their livelihoods, (b) these populations are also vulnerable to outside shocks such </t>
  </si>
  <si>
    <t xml:space="preserve">
**A. Project Development Objective**
**PDO Statement**
27. The proposed Project Development Objective (PDO) is to demonstrate the viability of financing green agriculture investments and foster the innovation and adoption of green agriculture standards and technologies in Henan.
**PDO Level Indicators**
28. The proposed PDO-level results indicators include
(a) Amount of externally leveraged investments in green finance (Amount (US$));
(b) Number of applications of replicable green agriculture technology solutions supported by the project (Number); and
(c) Reduced GHG emissions from the application of green standards and technologies (MT) (Percentage).
</t>
  </si>
  <si>
    <t xml:space="preserve">Section: PROJECT DESCRIPTION
Content:
A. Project Development Objective (PDO)
The objective of the Project is to enhance access to markets by Agricultural Producer Organizations and Indigenous Communities in selected parts of the Borrower’s territory.
PDO Level Indicators. The PDO level indicators are as follow:
(a) Increased gross value of sales (in real terms) by Beneficiary Organizations, disaggregated by Agricultural Producer Organizations and Indigenous Communities (Percentage).
(b) Beneficiary Organizations that continue realizing sales at project closing in accordance to their respective approved subproject -Disaggregated by Agricultural Producer Organizations and Indigenous Communities (Percentage).
(c) Farmers directly benefiting as members of Beneficiary Organizations and participating in implementing investment subprojects (Number).
(d) Farmers reached with agricultural assets or services (CRI), disaggregated by gender and ethnicity (Number).
(e) Individuals directly benefitting from the Project, disaggregated by gender and ethnicity (Number).
</t>
  </si>
  <si>
    <t xml:space="preserve">
**PDO Statement**
27. The Project Development Objective (PDO) is to strengthen capacity for sustainable and competitive agricultural growth and promote the use of climate-smart agriculture in targeted regions in Turkey.
**PDO Level Indicators)**
- Land area with integral information to develop sustainable and competitive agricultural land planning/management (Hectare (Ha))
- Increase in the analysis/tests for animal disease diagnosis processed in the upgraded/constructed laboratories (Percentage)
- Farmers adopting Climate-Smart Agricultural (CSA) technologies (Number).
engthening and improving veterinary medicinal product controls for animal infectious and vector-borne diseases and zoo</t>
  </si>
  <si>
    <t xml:space="preserve">Section: PROJECT DESCRIPTION
Content: As listedA. Results Chain (Theory of Change)
B. Project Development Objective
39. The project development objective (PDO) is to improve productivity, market access, and resilience of smallholder farmers and agro‐entrepreneurs operating in selected livestock value chains in target areas. Resilience will address risks related to climate, financial shocks, animal health, food safety, and zoonotic diseases. Resilience will be strengthened by mainstreaming CSA practices, implementing measures that improve food/feed safety, and developing livestock insurance. The targeted species are cattle, buffalo, goats, sheep and chicken. These value chains are considered strategic for both food security/nutritional supply and for their comparative advantage on the regional markets and associated income generation potential.
</t>
  </si>
  <si>
    <t xml:space="preserve">Section: Project Description
Content: A. Project Development Objective
Key Performance Indicators. The following PDO-level indicators will be used to monitor the key outcomes of the project:
* Number of beneficiaries of interventions (POs including the share of women);
* Number of SMEs and agritech startups reached (with the share of women);
* Percentage increase in the average gross value of sales of producer organizations under productive partnerships; and
* Jobs created by COVID-19 interventions (short-term employment for construction and returnee migrants with the share of women).
</t>
  </si>
  <si>
    <t>Section: PROJECT DESCRIPTION
Content: As listed**A. Project Development Objective**
PDO Statement
23. The objectives of the project are to increase food production and to improve resilience of targeted smallholder farmers and food insecure households in affected areas.
PDO Level Indicators
24. PDO Level Indicators. The following key indicators will be used to track progress toward the PDO: (i) Farmers reached with agricultural assets or services, of whom women (number) (CRI); (ii) Volume of food crops produced (metric ton); and (iii) Beneficiaries of LIPW (number), of whom women and internally displaced persons (IDP) (percentage).</t>
  </si>
  <si>
    <t xml:space="preserve">Section: Project Description
Content: A. Project Components
 </t>
  </si>
  <si>
    <t xml:space="preserve"> </t>
  </si>
  <si>
    <t xml:space="preserve">Section: Project Description
Content: A. Project Development Objective
30. The Project Development Objectives (PDO) are to: (i) strengthen agricultural public systems and rural producers to increase climate change adaptation and mitigation actions and promote agro-ecological production; and (ii) respond effectively in case of an Eligible Crisis or Emergency.
</t>
  </si>
  <si>
    <t xml:space="preserve">Section: Project Description
Content: A. Project Development Objective
PDO Statement
34. The Project Development Objective (PDO) is to strengthen the capacity of targeted CCAFS (CGIAR Research Program on Climate Change, Agriculture and Food Security) partners and stakeholders, and to enhance access to climate information services and validated climate-smart agriculture technologies in IDA-eligible countries in Africa.
</t>
  </si>
  <si>
    <t xml:space="preserve">Section: Project Description
Content:
**A. Project Development Objective**
**PDO Statement (for Phase 1)**
47. The Project Development Objective (PDO) is to improve the performance of targeted small agriculture producers and AgriMSMEs and improve natural resources management practices in selected project areas.
</t>
  </si>
  <si>
    <t xml:space="preserve">Section: Project Description
Content:
**A. Project Development Objective**
**PDO Statement**
18. The Project Development Objective (PDO) is to enhance climate resilience and productivity of irrigated agriculture and fisheries in targeted schemes.
**PDO Level Indicators**
19. The key outcome level performance indicators include the following (see Results Framework in Section VI for more details):
(i) area under climate-resilient technologies and practices both under crop production and fisheries (climate resilience);
(ii) farmers adopting improved agricultural technology (climate resilience, and irrigated agriculture productivity);
(iii) increase in productivity of selected agricultural commodities and fishery supported by the project (irrigated agriculture and fishery productivity); and
(iv) number of direct project beneficiaries (gender-disaggregated).
</t>
  </si>
  <si>
    <t xml:space="preserve">Section: Project Description
Content:
A. Project Development Objective
PDO Statement
The PDO is to promote integrated environmentally sustainable and climate-smart agriculture, and agri-food quality and safety, in targeted value chains and landscapes in Hubei Province.
PDO Level Indicators
24. The key PDO-level results indicators include the following:
a. Sustainability and Resilience: Area under 3S Good Agricultural Practices (GAP) (area of landscapes under improved practices) (hectares);
b. Climate Smart Agriculture: Greenhouse gas (GHG) emissions from agriculture mitigated (metric tons of CO2 equivalent);
c. Food Quality and Safety: Reduced pesticide and veterinary drug residue levels in the select value chains (percent).
</t>
  </si>
  <si>
    <t xml:space="preserve">Section: Project Description
Content: A. Project Development Objective
19. The Project Development Objective (PDO) is to strengthen food and nutrition security and increase resilience to climate shocks of targeted households and producers.
20. PDO Level Indicators. The following key indicators will be used to track progress towards the PDO: (i) share of households with Food Consumption Score (FCS) &gt;35 or considered acceptable, (percentage); (ii) farmers reached with agricultural assets or services, disaggregated by gender (Corporate Results Indicator (CRI), number); and (iii) beneficiaries accessing market information and climate advisories via digital tools, disaggregated by gender (number). PDO level indicators (i) and (ii) are directly linked to the first objective of strengthening food and nutrition security while (iii) is linked to increasing resilience to climate shocks of the target population.
</t>
  </si>
  <si>
    <t xml:space="preserve">Section: Project Description
Content:
A. Project Development Objective
PDO Statement
23. To facilitate the development of competitive and diversified agriculture value chains for selected commodities in targeted provinces.
PDO Level Indicators
24. In the PACD, competitive value chains will be measured by their increased productivity and higher quantities sold to markets by both smallholder producers and their organizations and intermediate MSMEs.
25. The PACD aims at consolidating the work done by the PPAP in the main coffee and cocoa producing areas. This implies some diversification from only cocoa and coffee to be promoted at both household (risk management against crisis and disasters) and community levels to facilitate the emergence of diversified value chains (spices, coconut, and small livestock) in targeted provinces and the synergetic integration into existing farming systems, such as apiculture for coffee and shade trees (including galip nuts) for cocoa.
26. The PDO-level Indicators include the following:
(a) Competitive value chain, including increased productivity for cocoa, coffee and diversified value chains, measured by (i) increased yields of selected crops (cocoa wet beans, coffee parchment, fresh ginger) and (ii) increased piglets weaned per sow and per year.
(b) Competitive value chain, including increased access to markets for cocoa, coffee and diversified value chains, measured by increase in the annual volumes of gross sales of MSMEs and producer organizations benefiting from subprojects.
(c) Diversified value chains measured by the number of agribusiness partnerships that assist farmers from coffee and cocoa producing areas diversifying to new commodities (spices, small livestock, coconut)
(d) Total number of beneficiaries - disaggregated by gender
</t>
  </si>
  <si>
    <t xml:space="preserve">Section: Project Description
Content: A. Project Development Objective
20. The Project Development Objective is to improve productivity and market access for smallholder farmers and agri-enterprises for selected value chains in project-participating counties.
21. PDO-Level Indicators. Five key performance indicators are proposed to measure project outcomes: (i) Farmers reached with agricultural assets or services (CRI) (number), disaggregated by gender and access climate-smart agricultural assets; (ii) Increased yield of targeted agricultural produce by project-supported farmers, disaggregated by targeted commodity (percentage); (iii) Increase in marketed volume of locally produced agricultural commodities by project-supported farmer-based organizations (FBOs), disaggregated by targeted commodity (percentage); (iv) Reduction in transportation time between Tappita and ToeTown, disaggregated by passengers and agricultural freight (percentage of time saved); and (v) Direct project beneficiaries (CRI), disaggregated by gender (number).
</t>
  </si>
  <si>
    <t xml:space="preserve">Section: Project Description
Content: A. Project Development Objective
PDO Statement
23. The development objective of the proposed project is to strengthen the foundations for a more resilient agricultural sector in Tajikistan.
PDO Level Indicators
24. For the purpose of this project, foundations for a more resilient agriculture sector refer to the availablity of public agricultural services, including improved seeds, seedlings, and planting materials; agri-logistical services; agro-meteorological information; soil testing; locust control and crop protection. Success of the project will be monitored against achievement of the following key results indicators:
(i) Certified seeds, seedlings, and planting materials sold commercially (Percentage) (Outcome 1)
(ii) Clients benefiting from ALC services (Percentage) (Outcome 2)
(iii) Female clients benefiting from ALC services for at least one year (Percentage) (Outcome 3)
(iv) Database for timely and effective information for crisis management available (Yes/ No) (Outcome </t>
  </si>
  <si>
    <t xml:space="preserve">Section: Project Description
Content:
A. Project Development Objective (PDO)
34. PDO Statement. The project development objective is to provide access to land tenure security, agricultural and social services, and selected infrastructure to small farmers and communities in the project areas.
35. PDO Level Indicators. The achievement of the PDO will be measured through the following indicators:
Beneficiaries have access to land tenure security
*   Percentage of eligible households that have received support for land titles for their SLCs under LASED III, disaggregated by gender
*   Number of IP households benefiting from ICLT registration under project support
Beneficiaries have access to agricultural services
*   Number of farmers reached with agricultural assets or services
Beneficiaries have access to clean water
*   Number of people provided with access to improved water sources
Beneficiaries have access to economic and social infrastructure and services
*   Number of beneficiary communities (project sites) connected to commune centers with an all-weather road
*   Number of beneficiary communities (project sites) with access to (at least) primary schools services
*   Number of beneficiary communities (project sites) with access to (at least) a health post
</t>
  </si>
  <si>
    <t xml:space="preserve">Section: Project Description
Content: A. Project Development Objective
22. The Project Development Objective (PDO) is to support the development of inclusive, resilient, and competitive agri-food value chains, benefiting their actors in project areas.
23. Achievement of the PDO will be measured using the following six indicators: (i) Direct project beneficiaries (disaggregated by gender, youth, smallholders, MSMEs, SME, and large operators) (number); (ii) Increase in the value of products marketed (domestically and regionally) by project supported beneficiaries in targeted agri-food value chains (percentage); (iii) Yields, (ton/ha), in targeted agri-food value chains supported by the project (disaggregated by commodity—(a) cassava; (b) tomatoes; and (c) aquaculture (metric/ton); (iv) Number of farmers adopting CSA technology (number); (v) Increase in private investment generated by the project in production, agro-processing, and related activities, (disaggregated by gender) (US$ million); and (vi) Increase in value chain-supported products inspected in domestic markets that comply with sanitary and/or phytosanitary standards (percentage). The project outcome-, intermediate-, and output-level indicators are detailed in the Results Framework (Section VII).
</t>
  </si>
  <si>
    <t xml:space="preserve">Section: Project Description
Content:
**A. Project Development Objective**
PDO Statement. The Project Development Objectives (PDO) are to prevent and respond to the threat posed by the locust infestation outbreak and to strengthen Djibouti’s systems for preparedness.
**B. Project Results Indicators**
Progress towards the achievement of the PDO and results would be measured by the following indicators, in line with the indicators of the ELRP MPA. Indicators to track citizen engagement track include awareness raising communication campaigns conducted and grievances registered and resolved by the program.
</t>
  </si>
  <si>
    <t xml:space="preserve">Section: Project Description
Content: A. Project Development Objective
26. The Project Development Objective (PDO) is to support environmentally and financially sustainable and inclusive agricultural value chains in selected locations.
 women farmers as well as youth in the project.
PDO-Level Indicators
28. The achievements of the PDO will be measured through the following indicators:
* Proportion of project-supported Korporasi Petani members with increased sales through commercial channels (Percentage)
* Percentage increase in productivity of selected crops and livestock from incorporating climate smart agriculture technologies amongst project beneficiaries (Percentage)
* Number of partnerships facilitated by the project (Number)
* Farmers reached with agricultural assets or services (CRI, Number)
</t>
  </si>
  <si>
    <t xml:space="preserve">Section: Project Description
Content: A. Project Development Objective
26. PDO Statement.
The Project Development Objective (PDO) is to enhance access to markets and access to water and sanitation, adopting climate resilient approaches, by targeted beneficiaries in selected areas of the State of Ceará.
PDO Level Indicators
Access to markets:
*   (a) Increase gross value of sales (in real terms) by members of organizations participating in approved subprojects (percentage)
Access to water and sanitation:
*   (b) People provided with access to improved water sources (number, Core Results Indicator - CRI)
*   (c) People provided with access to improved sanitation services (number, CRI)
Adoption of climate resilient approaches:
*   (d) Farmers (members of supported organizations) adopting improved agricultural technology (number, CRI).
</t>
  </si>
  <si>
    <t xml:space="preserve">Section: Project Description
Content:
**A. Project Development Objective**
In the backdrop of the prevalent FCV environment and ongoing localized conflict in the country, the World Bank is engaging with the government with a flexible approach so that the necessary adjustments can be made along the way according to the evolving situation. The proposed project puts increased production and climate resilience at the core of agricultural growth in South Sudan. It strives to move support from humanitarian assistance to self-reliance by: (i) promoting knowledge, skills, access to inputs and solutions for enhancing production and resilience at farm level; and (ii) providing longer-term solutions at the field and institutional levels to ensure sustainability of the outcomes. This approach is reflected in the project design, ensuring that investments promoted by the project and efforts to reduce farmers’ climate vulnerability, enhance their resilience and ensure that smallholder farming becomes and remains a financially viable economic activity. The project will also contribute to reducing conflict, especially over access to resources, nurturing social harmony and promoting peace at the local level.
While the agricultural development agenda is vast, the proposed project is envisaged as a first step towards transforming South Sudan’s agriculture. The myriad political, social and economic challenges facing the country require a gradual and sequenced approach to revitalizing the sector. RALP, therefore, has been designed to address the key constraints upstream in the value chain that constitute the fundamental building blocks of a vibrant agriculture and food system, that is, strengthening farmer capacity and improving farm production. The proposed project focuses on the crop sub-sector as a first-phase effort in support to the sector. It is expected that building on the successes of the proposed interventions, future operations can help to expand and scale up support for achieving commercialization and competitiveness in remunerative crop and livestock agricultural value chains for longer-term positive impacts towards sustainable economic growth and development.
**PDO Statement**
The project development objective (PDO) is to strengthen capacity of farmers and their organizations and improve agricultural production.
**Project Development Objective Indicators**
The achievement of PDO will be measured against the following proposed key outcomes:
a) Increase in production volume of select crops (sorghum, maize, groundnuts) amongst target beneficiaries (percentage).
b) Increase in farming area (hectares).
c) Targeted farmers adopting improved agricultural practices (percentage out of total number of farmers reached with productive assets and services).
d) Increase in the number of farmer organizations that are active.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</si>
</sst>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name val="Calibri"/>
    </font>
    <font>
      <u/>
      <sz val="11"/>
      <color rgb="FF0000FF"/>
      <name val="Calibri"/>
    </font>
    <font>
      <sz val="11"/>
      <name val="Calibri"/>
      <family val="2"/>
    </font>
    <font>
      <sz val="11"/>
      <color rgb="FF000000"/>
      <name val="Aptos Narrow"/>
      <family val="2"/>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2" fillId="0" borderId="0" xfId="0" applyFont="1" applyAlignment="1">
      <alignment wrapText="1"/>
    </xf>
    <xf numFmtId="0" fontId="2" fillId="0" borderId="0" xfId="0" applyFont="1"/>
    <xf numFmtId="0" fontId="2" fillId="0" borderId="0" xfId="0" applyFont="1" applyAlignment="1">
      <alignment vertical="top" wrapText="1"/>
    </xf>
    <xf numFmtId="0" fontId="3" fillId="0" borderId="0" xfId="0" applyFont="1"/>
    <xf numFmtId="0" fontId="4" fillId="0" borderId="1" xfId="0" applyFont="1" applyBorder="1" applyAlignment="1">
      <alignment horizontal="center" vertical="center" wrapText="1"/>
    </xf>
    <xf numFmtId="0" fontId="0" fillId="0" borderId="1" xfId="0" applyBorder="1" applyAlignment="1">
      <alignment vertical="center" wrapText="1"/>
    </xf>
    <xf numFmtId="164" fontId="0" fillId="0" borderId="1" xfId="0" applyNumberFormat="1" applyBorder="1" applyAlignment="1">
      <alignment vertical="center" wrapText="1"/>
    </xf>
    <xf numFmtId="0" fontId="5" fillId="0" borderId="0" xfId="0" applyFont="1"/>
    <xf numFmtId="164" fontId="5" fillId="0" borderId="0" xfId="0" applyNumberFormat="1" applyFont="1"/>
    <xf numFmtId="16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bdocsservices.worldbank.org/services?I4_SERVICE=FILE_URLS2&amp;RENDITION=Y&amp;TYPE=T&amp;I4_DOCID=090224b086798434&amp;stream=Yes" TargetMode="External"/><Relationship Id="rId18" Type="http://schemas.openxmlformats.org/officeDocument/2006/relationships/hyperlink" Target="http://wbdocsservices.worldbank.org/services?I4_SERVICE=FILE_URLS2&amp;RENDITION=Y&amp;TYPE=T&amp;I4_DOCID=090224b087ce19ab&amp;stream=Yes" TargetMode="External"/><Relationship Id="rId26" Type="http://schemas.openxmlformats.org/officeDocument/2006/relationships/hyperlink" Target="http://wbdocsservices.worldbank.org/services?I4_SERVICE=FILE_URLS2&amp;RENDITION=Y&amp;TYPE=T&amp;I4_DOCID=090224b08872353d&amp;stream=Yes" TargetMode="External"/><Relationship Id="rId39" Type="http://schemas.openxmlformats.org/officeDocument/2006/relationships/hyperlink" Target="http://wbdocsservices.worldbank.org/services?I4_SERVICE=FILE_URLS2&amp;RENDITION=Y&amp;TYPE=T&amp;I4_DOCID=090224b087a2635b&amp;stream=Yes" TargetMode="External"/><Relationship Id="rId21" Type="http://schemas.openxmlformats.org/officeDocument/2006/relationships/hyperlink" Target="http://wbdocsservices.worldbank.org/services?I4_SERVICE=FILE_URLS2&amp;RENDITION=Y&amp;TYPE=T&amp;I4_DOCID=090224b0876e06b6&amp;stream=Yes" TargetMode="External"/><Relationship Id="rId34" Type="http://schemas.openxmlformats.org/officeDocument/2006/relationships/hyperlink" Target="http://wbdocsservices.worldbank.org/services?I4_SERVICE=FILE_URLS2&amp;RENDITION=Y&amp;TYPE=T&amp;I4_DOCID=090224b0878d4e49&amp;stream=Yes" TargetMode="External"/><Relationship Id="rId42" Type="http://schemas.openxmlformats.org/officeDocument/2006/relationships/hyperlink" Target="http://wbdocsservices.worldbank.org/services?I4_SERVICE=FILE_URLS2&amp;RENDITION=Y&amp;TYPE=T&amp;I4_DOCID=090224b087911793&amp;stream=Yes" TargetMode="External"/><Relationship Id="rId47" Type="http://schemas.openxmlformats.org/officeDocument/2006/relationships/hyperlink" Target="http://wbdocsservices.worldbank.org/services?I4_SERVICE=FILE_URLS2&amp;RENDITION=Y&amp;TYPE=T&amp;I4_DOCID=090224b085a904f7&amp;stream=Yes" TargetMode="External"/><Relationship Id="rId50" Type="http://schemas.openxmlformats.org/officeDocument/2006/relationships/hyperlink" Target="http://wbdocsservices.worldbank.org/services?I4_SERVICE=FILE_URLS2&amp;RENDITION=Y&amp;TYPE=T&amp;I4_DOCID=090224b086da7266&amp;stream=Yes" TargetMode="External"/><Relationship Id="rId55" Type="http://schemas.openxmlformats.org/officeDocument/2006/relationships/hyperlink" Target="http://wbdocsservices.worldbank.org/services?I4_SERVICE=FILE_URLS2&amp;RENDITION=Y&amp;TYPE=T&amp;I4_DOCID=090224b088e2359c&amp;stream=Yes" TargetMode="External"/><Relationship Id="rId7" Type="http://schemas.openxmlformats.org/officeDocument/2006/relationships/hyperlink" Target="http://wbdocsservices.worldbank.org/services?I4_SERVICE=FILE_URLS2&amp;RENDITION=Y&amp;TYPE=T&amp;I4_DOCID=090224b088cfe5b6&amp;stream=Yes" TargetMode="External"/><Relationship Id="rId2" Type="http://schemas.openxmlformats.org/officeDocument/2006/relationships/hyperlink" Target="http://wbdocsservices.worldbank.org/services?I4_SERVICE=FILE_URLS2&amp;RENDITION=Y&amp;TYPE=T&amp;I4_DOCID=090224b088ddd7cc&amp;stream=Yes" TargetMode="External"/><Relationship Id="rId16" Type="http://schemas.openxmlformats.org/officeDocument/2006/relationships/hyperlink" Target="http://wbdocsservices.worldbank.org/services?I4_SERVICE=FILE_URLS2&amp;RENDITION=Y&amp;TYPE=T&amp;I4_DOCID=090224b088d09225&amp;stream=Yes" TargetMode="External"/><Relationship Id="rId29" Type="http://schemas.openxmlformats.org/officeDocument/2006/relationships/hyperlink" Target="http://wbdocsservices.worldbank.org/services?I4_SERVICE=FILE_URLS2&amp;RENDITION=Y&amp;TYPE=T&amp;I4_DOCID=090224b088b4ea6a&amp;stream=Yes" TargetMode="External"/><Relationship Id="rId11" Type="http://schemas.openxmlformats.org/officeDocument/2006/relationships/hyperlink" Target="http://wbdocsservices.worldbank.org/services?I4_SERVICE=FILE_URLS2&amp;RENDITION=Y&amp;TYPE=T&amp;I4_DOCID=090224b088b99b68&amp;stream=Yes" TargetMode="External"/><Relationship Id="rId24" Type="http://schemas.openxmlformats.org/officeDocument/2006/relationships/hyperlink" Target="http://wbdocsservices.worldbank.org/services?I4_SERVICE=FILE_URLS2&amp;RENDITION=Y&amp;TYPE=T&amp;I4_DOCID=090224b0865edbbb&amp;stream=Yes" TargetMode="External"/><Relationship Id="rId32" Type="http://schemas.openxmlformats.org/officeDocument/2006/relationships/hyperlink" Target="http://wbdocsservices.worldbank.org/services?I4_SERVICE=FILE_URLS2&amp;RENDITION=Y&amp;TYPE=T&amp;I4_DOCID=090224b085c30df8&amp;stream=Yes" TargetMode="External"/><Relationship Id="rId37" Type="http://schemas.openxmlformats.org/officeDocument/2006/relationships/hyperlink" Target="http://wbdocsservices.worldbank.org/services?I4_SERVICE=FILE_URLS2&amp;RENDITION=Y&amp;TYPE=T&amp;I4_DOCID=090224b088627767&amp;stream=Yes" TargetMode="External"/><Relationship Id="rId40" Type="http://schemas.openxmlformats.org/officeDocument/2006/relationships/hyperlink" Target="http://wbdocsservices.worldbank.org/services?I4_SERVICE=FILE_URLS2&amp;RENDITION=Y&amp;TYPE=T&amp;I4_DOCID=090224b088616a0d&amp;stream=Yes" TargetMode="External"/><Relationship Id="rId45" Type="http://schemas.openxmlformats.org/officeDocument/2006/relationships/hyperlink" Target="http://wbdocsservices.worldbank.org/services?I4_SERVICE=FILE_URLS2&amp;RENDITION=Y&amp;TYPE=T&amp;I4_DOCID=090224b08861755b&amp;stream=Yes" TargetMode="External"/><Relationship Id="rId53" Type="http://schemas.openxmlformats.org/officeDocument/2006/relationships/hyperlink" Target="http://wbdocsservices.worldbank.org/services?I4_SERVICE=FILE_URLS2&amp;RENDITION=Y&amp;TYPE=T&amp;I4_DOCID=090224b088637d10&amp;stream=Yes" TargetMode="External"/><Relationship Id="rId58" Type="http://schemas.openxmlformats.org/officeDocument/2006/relationships/hyperlink" Target="http://wbdocsservices.worldbank.org/services?I4_SERVICE=FILE_URLS2&amp;RENDITION=Y&amp;TYPE=T&amp;I4_DOCID=090224b08735b2ec&amp;stream=Yes" TargetMode="External"/><Relationship Id="rId5" Type="http://schemas.openxmlformats.org/officeDocument/2006/relationships/hyperlink" Target="http://wbdocsservices.worldbank.org/services?I4_SERVICE=FILE_URLS2&amp;RENDITION=Y&amp;TYPE=T&amp;I4_DOCID=090224b08792a54d&amp;stream=Yes" TargetMode="External"/><Relationship Id="rId19" Type="http://schemas.openxmlformats.org/officeDocument/2006/relationships/hyperlink" Target="http://wbdocsservices.worldbank.org/services?I4_SERVICE=FILE_URLS2&amp;RENDITION=Y&amp;TYPE=T&amp;I4_DOCID=090224b086c3bb49&amp;stream=Yes" TargetMode="External"/><Relationship Id="rId4" Type="http://schemas.openxmlformats.org/officeDocument/2006/relationships/hyperlink" Target="http://wbdocsservices.worldbank.org/services?I4_SERVICE=FILE_URLS2&amp;RENDITION=Y&amp;TYPE=T&amp;I4_DOCID=090224b0869c189b&amp;stream=Yes" TargetMode="External"/><Relationship Id="rId9" Type="http://schemas.openxmlformats.org/officeDocument/2006/relationships/hyperlink" Target="http://wbdocsservices.worldbank.org/services?I4_SERVICE=FILE_URLS2&amp;RENDITION=Y&amp;TYPE=T&amp;I4_DOCID=090224b086ff8909&amp;stream=Yes" TargetMode="External"/><Relationship Id="rId14" Type="http://schemas.openxmlformats.org/officeDocument/2006/relationships/hyperlink" Target="http://wbdocsservices.worldbank.org/services?I4_SERVICE=FILE_URLS2&amp;RENDITION=Y&amp;TYPE=T&amp;I4_DOCID=090224b088d5255f&amp;stream=Yes" TargetMode="External"/><Relationship Id="rId22" Type="http://schemas.openxmlformats.org/officeDocument/2006/relationships/hyperlink" Target="http://wbdocsservices.worldbank.org/services?I4_SERVICE=FILE_URLS2&amp;RENDITION=Y&amp;TYPE=T&amp;I4_DOCID=090224b0876e06be&amp;stream=Yes" TargetMode="External"/><Relationship Id="rId27" Type="http://schemas.openxmlformats.org/officeDocument/2006/relationships/hyperlink" Target="http://wbdocsservices.worldbank.org/services?I4_SERVICE=FILE_URLS2&amp;RENDITION=Y&amp;TYPE=T&amp;I4_DOCID=090224b08555572f&amp;stream=Yes" TargetMode="External"/><Relationship Id="rId30" Type="http://schemas.openxmlformats.org/officeDocument/2006/relationships/hyperlink" Target="http://wbdocsservices.worldbank.org/services?I4_SERVICE=FILE_URLS2&amp;RENDITION=Y&amp;TYPE=T&amp;I4_DOCID=090224b087ff6947&amp;stream=Yes" TargetMode="External"/><Relationship Id="rId35" Type="http://schemas.openxmlformats.org/officeDocument/2006/relationships/hyperlink" Target="http://wbdocsservices.worldbank.org/services?I4_SERVICE=FILE_URLS2&amp;RENDITION=Y&amp;TYPE=T&amp;I4_DOCID=090224b088d8c260&amp;stream=Yes" TargetMode="External"/><Relationship Id="rId43" Type="http://schemas.openxmlformats.org/officeDocument/2006/relationships/hyperlink" Target="http://wbdocsservices.worldbank.org/services?I4_SERVICE=FILE_URLS2&amp;RENDITION=Y&amp;TYPE=T&amp;I4_DOCID=090224b088dc1baf&amp;stream=Yes" TargetMode="External"/><Relationship Id="rId48" Type="http://schemas.openxmlformats.org/officeDocument/2006/relationships/hyperlink" Target="http://wbdocsservices.worldbank.org/services?I4_SERVICE=FILE_URLS2&amp;RENDITION=Y&amp;TYPE=T&amp;I4_DOCID=090224b088b22c5e&amp;stream=Yes" TargetMode="External"/><Relationship Id="rId56" Type="http://schemas.openxmlformats.org/officeDocument/2006/relationships/hyperlink" Target="http://wbdocsservices.worldbank.org/services?I4_SERVICE=FILE_URLS2&amp;RENDITION=Y&amp;TYPE=T&amp;I4_DOCID=090224b0883aae62&amp;stream=Yes" TargetMode="External"/><Relationship Id="rId8" Type="http://schemas.openxmlformats.org/officeDocument/2006/relationships/hyperlink" Target="http://wbdocsservices.worldbank.org/services?I4_SERVICE=FILE_URLS2&amp;RENDITION=Y&amp;TYPE=T&amp;I4_DOCID=090224b088b4ea69&amp;stream=Yes" TargetMode="External"/><Relationship Id="rId51" Type="http://schemas.openxmlformats.org/officeDocument/2006/relationships/hyperlink" Target="http://wbdocsservices.worldbank.org/services?I4_SERVICE=FILE_URLS2&amp;RENDITION=Y&amp;TYPE=T&amp;I4_DOCID=090224b088d1c05a&amp;stream=Yes" TargetMode="External"/><Relationship Id="rId3" Type="http://schemas.openxmlformats.org/officeDocument/2006/relationships/hyperlink" Target="http://wbdocsservices.worldbank.org/services?I4_SERVICE=FILE_URLS2&amp;RENDITION=Y&amp;TYPE=T&amp;I4_DOCID=090224b0868784cd&amp;stream=Yes" TargetMode="External"/><Relationship Id="rId12" Type="http://schemas.openxmlformats.org/officeDocument/2006/relationships/hyperlink" Target="http://wbdocsservices.worldbank.org/services?I4_SERVICE=FILE_URLS2&amp;RENDITION=Y&amp;TYPE=T&amp;I4_DOCID=090224b0874ef069&amp;stream=Yes" TargetMode="External"/><Relationship Id="rId17" Type="http://schemas.openxmlformats.org/officeDocument/2006/relationships/hyperlink" Target="http://wbdocsservices.worldbank.org/services?I4_SERVICE=FILE_URLS2&amp;RENDITION=Y&amp;TYPE=T&amp;I4_DOCID=090224b087304cef&amp;stream=Yes" TargetMode="External"/><Relationship Id="rId25" Type="http://schemas.openxmlformats.org/officeDocument/2006/relationships/hyperlink" Target="http://wbdocsservices.worldbank.org/services?I4_SERVICE=FILE_URLS2&amp;RENDITION=Y&amp;TYPE=T&amp;I4_DOCID=090224b087ea59fe&amp;stream=Yes" TargetMode="External"/><Relationship Id="rId33" Type="http://schemas.openxmlformats.org/officeDocument/2006/relationships/hyperlink" Target="http://wbdocsservices.worldbank.org/services?I4_SERVICE=FILE_URLS2&amp;RENDITION=Y&amp;TYPE=T&amp;I4_DOCID=090224b0882ff4d2&amp;stream=Yes" TargetMode="External"/><Relationship Id="rId38" Type="http://schemas.openxmlformats.org/officeDocument/2006/relationships/hyperlink" Target="http://wbdocsservices.worldbank.org/services?I4_SERVICE=FILE_URLS2&amp;RENDITION=Y&amp;TYPE=T&amp;I4_DOCID=090224b08868b2aa&amp;stream=Yes" TargetMode="External"/><Relationship Id="rId46" Type="http://schemas.openxmlformats.org/officeDocument/2006/relationships/hyperlink" Target="http://wbdocsservices.worldbank.org/services?I4_SERVICE=FILE_URLS2&amp;RENDITION=Y&amp;TYPE=T&amp;I4_DOCID=090224b08861704b&amp;stream=Yes" TargetMode="External"/><Relationship Id="rId20" Type="http://schemas.openxmlformats.org/officeDocument/2006/relationships/hyperlink" Target="http://wbdocsservices.worldbank.org/services?I4_SERVICE=FILE_URLS2&amp;RENDITION=Y&amp;TYPE=T&amp;I4_DOCID=090224b08856d2b2&amp;stream=Yes" TargetMode="External"/><Relationship Id="rId41" Type="http://schemas.openxmlformats.org/officeDocument/2006/relationships/hyperlink" Target="http://wbdocsservices.worldbank.org/services?I4_SERVICE=FILE_URLS2&amp;RENDITION=Y&amp;TYPE=T&amp;I4_DOCID=090224b088552f5f&amp;stream=Yes" TargetMode="External"/><Relationship Id="rId54" Type="http://schemas.openxmlformats.org/officeDocument/2006/relationships/hyperlink" Target="http://wbdocsservices.worldbank.org/services?I4_SERVICE=FILE_URLS2&amp;RENDITION=Y&amp;TYPE=T&amp;I4_DOCID=090224b088ddd761&amp;stream=Yes" TargetMode="External"/><Relationship Id="rId1" Type="http://schemas.openxmlformats.org/officeDocument/2006/relationships/hyperlink" Target="http://wbdocsservices.worldbank.org/services?I4_SERVICE=FILE_URLS2&amp;RENDITION=Y&amp;TYPE=T&amp;I4_DOCID=090224b086d6a502&amp;stream=Yes" TargetMode="External"/><Relationship Id="rId6" Type="http://schemas.openxmlformats.org/officeDocument/2006/relationships/hyperlink" Target="http://wbdocsservices.worldbank.org/services?I4_SERVICE=FILE_URLS2&amp;RENDITION=Y&amp;TYPE=T&amp;I4_DOCID=090224b0870ca221&amp;stream=Yes" TargetMode="External"/><Relationship Id="rId15" Type="http://schemas.openxmlformats.org/officeDocument/2006/relationships/hyperlink" Target="http://wbdocsservices.worldbank.org/services?I4_SERVICE=FILE_URLS2&amp;RENDITION=Y&amp;TYPE=T&amp;I4_DOCID=090224b085899b31&amp;stream=Yes" TargetMode="External"/><Relationship Id="rId23" Type="http://schemas.openxmlformats.org/officeDocument/2006/relationships/hyperlink" Target="http://wbdocsservices.worldbank.org/services?I4_SERVICE=FILE_URLS2&amp;RENDITION=Y&amp;TYPE=T&amp;I4_DOCID=090224b088d2a5b0&amp;stream=Yes" TargetMode="External"/><Relationship Id="rId28" Type="http://schemas.openxmlformats.org/officeDocument/2006/relationships/hyperlink" Target="http://wbdocsservices.worldbank.org/services?I4_SERVICE=FILE_URLS2&amp;RENDITION=Y&amp;TYPE=T&amp;I4_DOCID=090224b0887a43d6&amp;stream=Yes" TargetMode="External"/><Relationship Id="rId36" Type="http://schemas.openxmlformats.org/officeDocument/2006/relationships/hyperlink" Target="http://wbdocsservices.worldbank.org/services?I4_SERVICE=FILE_URLS2&amp;RENDITION=Y&amp;TYPE=T&amp;I4_DOCID=090224b0877d2e47&amp;stream=Yes" TargetMode="External"/><Relationship Id="rId49" Type="http://schemas.openxmlformats.org/officeDocument/2006/relationships/hyperlink" Target="http://wbdocsservices.worldbank.org/services?I4_SERVICE=FILE_URLS2&amp;RENDITION=Y&amp;TYPE=T&amp;I4_DOCID=090224b087d59368&amp;stream=Yes" TargetMode="External"/><Relationship Id="rId57" Type="http://schemas.openxmlformats.org/officeDocument/2006/relationships/hyperlink" Target="http://wbdocsservices.worldbank.org/services?I4_SERVICE=FILE_URLS2&amp;RENDITION=Y&amp;TYPE=T&amp;I4_DOCID=090224b08739e7d4&amp;stream=Yes" TargetMode="External"/><Relationship Id="rId10" Type="http://schemas.openxmlformats.org/officeDocument/2006/relationships/hyperlink" Target="http://wbdocsservices.worldbank.org/services?I4_SERVICE=FILE_URLS2&amp;RENDITION=Y&amp;TYPE=T&amp;I4_DOCID=090224b08758e78e&amp;stream=Yes" TargetMode="External"/><Relationship Id="rId31" Type="http://schemas.openxmlformats.org/officeDocument/2006/relationships/hyperlink" Target="http://wbdocsservices.worldbank.org/services?I4_SERVICE=FILE_URLS2&amp;RENDITION=Y&amp;TYPE=T&amp;I4_DOCID=090224b08728c95a&amp;stream=Yes" TargetMode="External"/><Relationship Id="rId44" Type="http://schemas.openxmlformats.org/officeDocument/2006/relationships/hyperlink" Target="http://wbdocsservices.worldbank.org/services?I4_SERVICE=FILE_URLS2&amp;RENDITION=Y&amp;TYPE=T&amp;I4_DOCID=090224b086ebeca7&amp;stream=Yes" TargetMode="External"/><Relationship Id="rId52" Type="http://schemas.openxmlformats.org/officeDocument/2006/relationships/hyperlink" Target="http://wbdocsservices.worldbank.org/services?I4_SERVICE=FILE_URLS2&amp;RENDITION=Y&amp;TYPE=T&amp;I4_DOCID=090224b088d12379&amp;stream=Y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tabSelected="1" topLeftCell="L32" zoomScale="60" zoomScaleNormal="60" workbookViewId="0">
      <selection activeCell="N45" sqref="N45"/>
    </sheetView>
  </sheetViews>
  <sheetFormatPr defaultRowHeight="15" x14ac:dyDescent="0.25"/>
  <cols>
    <col min="1" max="1" width="31" customWidth="1"/>
    <col min="2" max="2" width="74.42578125" customWidth="1"/>
    <col min="3" max="3" width="42.28515625" customWidth="1"/>
    <col min="4" max="4" width="85.85546875" customWidth="1"/>
    <col min="5" max="5" width="18" customWidth="1"/>
    <col min="7" max="7" width="27" customWidth="1"/>
    <col min="8" max="8" width="38.140625" customWidth="1"/>
    <col min="9" max="9" width="31.28515625" customWidth="1"/>
    <col min="11" max="11" width="56.5703125" customWidth="1"/>
    <col min="12" max="12" width="28.7109375" customWidth="1"/>
    <col min="14" max="14" width="121" customWidth="1"/>
    <col min="15" max="16" width="100.85546875" customWidth="1"/>
    <col min="17" max="17" width="22.28515625" customWidth="1"/>
    <col min="18" max="18" width="22.140625" customWidth="1"/>
    <col min="19" max="19" width="21.28515625" customWidth="1"/>
    <col min="20" max="20" width="32.140625" customWidth="1"/>
    <col min="21" max="21" width="38.1406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row>
    <row r="2" spans="1:20" ht="20.25" customHeight="1" x14ac:dyDescent="0.25">
      <c r="A2" t="s">
        <v>20</v>
      </c>
      <c r="B2" t="s">
        <v>21</v>
      </c>
      <c r="C2" t="s">
        <v>22</v>
      </c>
      <c r="D2" s="1" t="s">
        <v>23</v>
      </c>
      <c r="E2" t="s">
        <v>24</v>
      </c>
      <c r="F2" t="s">
        <v>25</v>
      </c>
      <c r="G2" t="s">
        <v>26</v>
      </c>
      <c r="H2" t="s">
        <v>27</v>
      </c>
      <c r="I2" t="s">
        <v>28</v>
      </c>
      <c r="J2" t="s">
        <v>29</v>
      </c>
      <c r="K2" t="s">
        <v>30</v>
      </c>
      <c r="L2" t="s">
        <v>31</v>
      </c>
      <c r="M2" t="s">
        <v>32</v>
      </c>
      <c r="N2" s="4" t="s">
        <v>591</v>
      </c>
      <c r="O2" t="s">
        <v>33</v>
      </c>
      <c r="P2" s="2" t="s">
        <v>34</v>
      </c>
      <c r="Q2" t="s">
        <v>35</v>
      </c>
      <c r="R2">
        <v>0</v>
      </c>
      <c r="S2" t="str">
        <f>Q2</f>
        <v>US$44.0 million</v>
      </c>
      <c r="T2">
        <v>0</v>
      </c>
    </row>
    <row r="3" spans="1:20" ht="29.25" customHeight="1" x14ac:dyDescent="0.25">
      <c r="A3" t="s">
        <v>36</v>
      </c>
      <c r="B3" t="s">
        <v>37</v>
      </c>
      <c r="C3" t="s">
        <v>22</v>
      </c>
      <c r="D3" s="1" t="s">
        <v>38</v>
      </c>
      <c r="E3" t="s">
        <v>39</v>
      </c>
      <c r="F3" t="s">
        <v>40</v>
      </c>
      <c r="G3" t="s">
        <v>41</v>
      </c>
      <c r="H3" t="s">
        <v>27</v>
      </c>
      <c r="I3" t="s">
        <v>28</v>
      </c>
      <c r="J3" t="s">
        <v>29</v>
      </c>
      <c r="K3" t="s">
        <v>42</v>
      </c>
      <c r="L3" t="s">
        <v>31</v>
      </c>
      <c r="M3" t="s">
        <v>32</v>
      </c>
      <c r="N3" s="4" t="s">
        <v>592</v>
      </c>
      <c r="O3" t="s">
        <v>43</v>
      </c>
      <c r="P3" s="2" t="s">
        <v>44</v>
      </c>
      <c r="Q3" t="s">
        <v>45</v>
      </c>
      <c r="R3">
        <v>0</v>
      </c>
      <c r="S3" t="str">
        <f>Q3</f>
        <v>US$182 Million</v>
      </c>
    </row>
    <row r="4" spans="1:20" ht="42" customHeight="1" x14ac:dyDescent="0.25">
      <c r="A4" t="s">
        <v>46</v>
      </c>
      <c r="B4" t="s">
        <v>47</v>
      </c>
      <c r="C4" t="s">
        <v>48</v>
      </c>
      <c r="D4" s="1" t="s">
        <v>49</v>
      </c>
      <c r="E4" t="s">
        <v>50</v>
      </c>
      <c r="F4" t="s">
        <v>51</v>
      </c>
      <c r="G4" t="s">
        <v>52</v>
      </c>
      <c r="H4" t="s">
        <v>27</v>
      </c>
      <c r="I4" t="s">
        <v>28</v>
      </c>
      <c r="J4" t="s">
        <v>29</v>
      </c>
      <c r="K4" t="s">
        <v>53</v>
      </c>
      <c r="L4" t="s">
        <v>31</v>
      </c>
      <c r="M4" t="s">
        <v>32</v>
      </c>
      <c r="N4" s="4" t="s">
        <v>593</v>
      </c>
      <c r="O4" t="s">
        <v>54</v>
      </c>
      <c r="P4" s="2" t="s">
        <v>55</v>
      </c>
      <c r="Q4" t="s">
        <v>56</v>
      </c>
      <c r="R4" t="s">
        <v>57</v>
      </c>
      <c r="S4" t="str">
        <f>R4</f>
        <v>US$10million</v>
      </c>
      <c r="T4" t="str">
        <f>S4</f>
        <v>US$10million</v>
      </c>
    </row>
    <row r="5" spans="1:20" ht="32.25" customHeight="1" x14ac:dyDescent="0.25">
      <c r="A5" t="s">
        <v>58</v>
      </c>
      <c r="B5" t="s">
        <v>59</v>
      </c>
      <c r="C5" t="s">
        <v>60</v>
      </c>
      <c r="D5" s="1" t="s">
        <v>61</v>
      </c>
      <c r="E5" t="s">
        <v>62</v>
      </c>
      <c r="F5" t="s">
        <v>63</v>
      </c>
      <c r="G5" t="s">
        <v>26</v>
      </c>
      <c r="H5" t="s">
        <v>27</v>
      </c>
      <c r="I5" t="s">
        <v>28</v>
      </c>
      <c r="J5" t="s">
        <v>29</v>
      </c>
      <c r="K5" t="s">
        <v>53</v>
      </c>
      <c r="L5" t="s">
        <v>31</v>
      </c>
      <c r="M5" t="s">
        <v>32</v>
      </c>
      <c r="N5" s="4"/>
      <c r="O5" t="s">
        <v>33</v>
      </c>
      <c r="P5" s="2" t="s">
        <v>64</v>
      </c>
      <c r="Q5" t="s">
        <v>65</v>
      </c>
      <c r="R5" s="2" t="s">
        <v>66</v>
      </c>
      <c r="S5" t="s">
        <v>67</v>
      </c>
    </row>
    <row r="6" spans="1:20" ht="55.5" customHeight="1" x14ac:dyDescent="0.25">
      <c r="A6" t="s">
        <v>68</v>
      </c>
      <c r="B6" t="s">
        <v>69</v>
      </c>
      <c r="C6" t="s">
        <v>70</v>
      </c>
      <c r="D6" s="1" t="s">
        <v>71</v>
      </c>
      <c r="E6" t="s">
        <v>72</v>
      </c>
      <c r="F6" t="s">
        <v>73</v>
      </c>
      <c r="G6" t="s">
        <v>74</v>
      </c>
      <c r="H6" t="s">
        <v>27</v>
      </c>
      <c r="I6" t="s">
        <v>28</v>
      </c>
      <c r="J6" t="s">
        <v>29</v>
      </c>
      <c r="K6" t="s">
        <v>75</v>
      </c>
      <c r="L6" t="s">
        <v>31</v>
      </c>
      <c r="M6" t="s">
        <v>32</v>
      </c>
      <c r="N6" s="4" t="s">
        <v>594</v>
      </c>
      <c r="O6" t="s">
        <v>76</v>
      </c>
      <c r="P6" s="3" t="s">
        <v>77</v>
      </c>
      <c r="Q6" t="s">
        <v>78</v>
      </c>
    </row>
    <row r="7" spans="1:20" ht="22.5" customHeight="1" x14ac:dyDescent="0.25">
      <c r="A7" t="s">
        <v>79</v>
      </c>
      <c r="B7" t="s">
        <v>80</v>
      </c>
      <c r="C7" t="s">
        <v>81</v>
      </c>
      <c r="D7" s="1" t="s">
        <v>82</v>
      </c>
      <c r="E7" t="s">
        <v>83</v>
      </c>
      <c r="F7" t="s">
        <v>84</v>
      </c>
      <c r="G7" t="s">
        <v>26</v>
      </c>
      <c r="H7" t="s">
        <v>27</v>
      </c>
      <c r="I7" t="s">
        <v>28</v>
      </c>
      <c r="J7" t="s">
        <v>29</v>
      </c>
      <c r="K7" t="s">
        <v>85</v>
      </c>
      <c r="L7" t="s">
        <v>31</v>
      </c>
      <c r="M7" t="s">
        <v>32</v>
      </c>
      <c r="N7" s="4" t="s">
        <v>596</v>
      </c>
      <c r="O7" t="s">
        <v>86</v>
      </c>
      <c r="P7" s="2" t="s">
        <v>87</v>
      </c>
      <c r="Q7" t="s">
        <v>88</v>
      </c>
      <c r="R7" s="2" t="s">
        <v>89</v>
      </c>
      <c r="S7" t="s">
        <v>90</v>
      </c>
    </row>
    <row r="8" spans="1:20" ht="27" customHeight="1" x14ac:dyDescent="0.25">
      <c r="A8" t="s">
        <v>91</v>
      </c>
      <c r="B8" t="s">
        <v>92</v>
      </c>
      <c r="C8" t="s">
        <v>93</v>
      </c>
      <c r="D8" s="1" t="s">
        <v>94</v>
      </c>
      <c r="E8" t="s">
        <v>95</v>
      </c>
      <c r="F8" t="s">
        <v>96</v>
      </c>
      <c r="G8" t="s">
        <v>97</v>
      </c>
      <c r="H8" t="s">
        <v>27</v>
      </c>
      <c r="I8" t="s">
        <v>28</v>
      </c>
      <c r="J8" t="s">
        <v>29</v>
      </c>
      <c r="K8" t="s">
        <v>98</v>
      </c>
      <c r="L8" t="s">
        <v>31</v>
      </c>
      <c r="M8" t="s">
        <v>32</v>
      </c>
      <c r="N8" s="4" t="s">
        <v>595</v>
      </c>
      <c r="O8" t="s">
        <v>99</v>
      </c>
      <c r="P8" s="2" t="s">
        <v>100</v>
      </c>
      <c r="Q8" t="s">
        <v>101</v>
      </c>
      <c r="R8" s="2" t="s">
        <v>102</v>
      </c>
      <c r="S8" t="s">
        <v>103</v>
      </c>
    </row>
    <row r="9" spans="1:20" ht="409.5" customHeight="1" x14ac:dyDescent="0.25">
      <c r="A9" t="s">
        <v>104</v>
      </c>
      <c r="B9" t="s">
        <v>105</v>
      </c>
      <c r="C9" t="s">
        <v>106</v>
      </c>
      <c r="D9" s="1" t="s">
        <v>107</v>
      </c>
      <c r="E9" t="s">
        <v>108</v>
      </c>
      <c r="F9" t="s">
        <v>109</v>
      </c>
      <c r="G9" t="s">
        <v>74</v>
      </c>
      <c r="H9" t="s">
        <v>27</v>
      </c>
      <c r="I9" t="s">
        <v>28</v>
      </c>
      <c r="J9" t="s">
        <v>29</v>
      </c>
      <c r="K9" t="s">
        <v>75</v>
      </c>
      <c r="L9" t="s">
        <v>31</v>
      </c>
      <c r="M9" t="s">
        <v>32</v>
      </c>
      <c r="N9" s="4" t="s">
        <v>614</v>
      </c>
      <c r="O9" s="5" t="s">
        <v>110</v>
      </c>
      <c r="P9" s="4" t="s">
        <v>111</v>
      </c>
      <c r="Q9" s="5" t="s">
        <v>112</v>
      </c>
      <c r="R9" s="2" t="s">
        <v>103</v>
      </c>
      <c r="S9" s="5" t="s">
        <v>113</v>
      </c>
    </row>
    <row r="10" spans="1:20" ht="32.25" customHeight="1" x14ac:dyDescent="0.25">
      <c r="A10" t="s">
        <v>114</v>
      </c>
      <c r="B10" t="s">
        <v>115</v>
      </c>
      <c r="C10" t="s">
        <v>116</v>
      </c>
      <c r="D10" s="1" t="s">
        <v>117</v>
      </c>
      <c r="E10" t="s">
        <v>118</v>
      </c>
      <c r="F10" t="s">
        <v>119</v>
      </c>
      <c r="G10" t="s">
        <v>74</v>
      </c>
      <c r="H10" t="s">
        <v>27</v>
      </c>
      <c r="I10" t="s">
        <v>28</v>
      </c>
      <c r="J10" t="s">
        <v>29</v>
      </c>
      <c r="K10" t="s">
        <v>75</v>
      </c>
      <c r="L10" t="s">
        <v>31</v>
      </c>
      <c r="M10" t="s">
        <v>32</v>
      </c>
      <c r="N10" s="4" t="s">
        <v>597</v>
      </c>
      <c r="O10" s="6" t="s">
        <v>120</v>
      </c>
      <c r="P10" s="6" t="s">
        <v>121</v>
      </c>
      <c r="Q10" s="5" t="s">
        <v>122</v>
      </c>
      <c r="R10" s="2" t="s">
        <v>123</v>
      </c>
      <c r="S10" s="5" t="s">
        <v>124</v>
      </c>
    </row>
    <row r="11" spans="1:20" ht="27.75" customHeight="1" x14ac:dyDescent="0.25">
      <c r="A11" t="s">
        <v>125</v>
      </c>
      <c r="B11" t="s">
        <v>126</v>
      </c>
      <c r="C11" t="s">
        <v>127</v>
      </c>
      <c r="D11" s="1" t="s">
        <v>128</v>
      </c>
      <c r="E11" t="s">
        <v>129</v>
      </c>
      <c r="F11" t="s">
        <v>84</v>
      </c>
      <c r="G11" t="s">
        <v>26</v>
      </c>
      <c r="H11" t="s">
        <v>27</v>
      </c>
      <c r="I11" t="s">
        <v>28</v>
      </c>
      <c r="J11" t="s">
        <v>29</v>
      </c>
      <c r="K11" t="s">
        <v>130</v>
      </c>
      <c r="L11" t="s">
        <v>31</v>
      </c>
      <c r="M11" t="s">
        <v>32</v>
      </c>
      <c r="N11" s="4" t="s">
        <v>598</v>
      </c>
      <c r="O11" s="5" t="s">
        <v>131</v>
      </c>
      <c r="P11" s="4" t="s">
        <v>132</v>
      </c>
      <c r="Q11" s="5" t="s">
        <v>133</v>
      </c>
      <c r="R11" s="2" t="s">
        <v>134</v>
      </c>
    </row>
    <row r="12" spans="1:20" ht="27.75" customHeight="1" x14ac:dyDescent="0.25">
      <c r="A12" t="s">
        <v>137</v>
      </c>
      <c r="B12" t="s">
        <v>138</v>
      </c>
      <c r="C12" t="s">
        <v>139</v>
      </c>
      <c r="D12" s="1" t="s">
        <v>140</v>
      </c>
      <c r="E12" t="s">
        <v>141</v>
      </c>
      <c r="F12" t="s">
        <v>142</v>
      </c>
      <c r="G12" t="s">
        <v>97</v>
      </c>
      <c r="H12" t="s">
        <v>27</v>
      </c>
      <c r="I12" t="s">
        <v>28</v>
      </c>
      <c r="J12" t="s">
        <v>29</v>
      </c>
      <c r="K12" t="s">
        <v>42</v>
      </c>
      <c r="L12" t="s">
        <v>31</v>
      </c>
      <c r="M12" t="s">
        <v>32</v>
      </c>
      <c r="N12" s="4" t="s">
        <v>599</v>
      </c>
      <c r="O12" s="5" t="s">
        <v>143</v>
      </c>
      <c r="P12" s="2" t="s">
        <v>144</v>
      </c>
      <c r="Q12" s="5" t="s">
        <v>145</v>
      </c>
      <c r="R12" s="2" t="s">
        <v>146</v>
      </c>
      <c r="T12" s="2" t="s">
        <v>147</v>
      </c>
    </row>
    <row r="13" spans="1:20" ht="33" customHeight="1" x14ac:dyDescent="0.25">
      <c r="A13" t="s">
        <v>148</v>
      </c>
      <c r="B13" t="s">
        <v>149</v>
      </c>
      <c r="C13" t="s">
        <v>150</v>
      </c>
      <c r="D13" s="1" t="s">
        <v>151</v>
      </c>
      <c r="E13" t="s">
        <v>152</v>
      </c>
      <c r="F13" t="s">
        <v>153</v>
      </c>
      <c r="G13" t="s">
        <v>154</v>
      </c>
      <c r="H13" t="s">
        <v>27</v>
      </c>
      <c r="I13" t="s">
        <v>28</v>
      </c>
      <c r="J13" t="s">
        <v>29</v>
      </c>
      <c r="K13" t="s">
        <v>42</v>
      </c>
      <c r="L13" t="s">
        <v>31</v>
      </c>
      <c r="M13" t="s">
        <v>32</v>
      </c>
      <c r="N13" s="4" t="s">
        <v>600</v>
      </c>
      <c r="O13" s="5" t="s">
        <v>155</v>
      </c>
      <c r="P13" t="s">
        <v>156</v>
      </c>
      <c r="Q13" s="5" t="s">
        <v>157</v>
      </c>
      <c r="R13" s="2" t="s">
        <v>157</v>
      </c>
    </row>
    <row r="14" spans="1:20" ht="21.75" customHeight="1" x14ac:dyDescent="0.25">
      <c r="A14" t="s">
        <v>158</v>
      </c>
      <c r="B14" t="s">
        <v>159</v>
      </c>
      <c r="C14" t="s">
        <v>160</v>
      </c>
      <c r="D14" s="1" t="s">
        <v>161</v>
      </c>
      <c r="E14" t="s">
        <v>162</v>
      </c>
      <c r="F14" t="s">
        <v>163</v>
      </c>
      <c r="G14" t="s">
        <v>97</v>
      </c>
      <c r="H14" t="s">
        <v>27</v>
      </c>
      <c r="I14" t="s">
        <v>28</v>
      </c>
      <c r="J14" t="s">
        <v>29</v>
      </c>
      <c r="K14" t="s">
        <v>164</v>
      </c>
      <c r="L14" t="s">
        <v>31</v>
      </c>
      <c r="M14" t="s">
        <v>32</v>
      </c>
      <c r="N14" s="4" t="s">
        <v>601</v>
      </c>
      <c r="O14" s="5" t="s">
        <v>165</v>
      </c>
      <c r="P14" s="2" t="s">
        <v>166</v>
      </c>
      <c r="Q14" s="5" t="s">
        <v>167</v>
      </c>
      <c r="S14" t="s">
        <v>167</v>
      </c>
    </row>
    <row r="15" spans="1:20" ht="24.75" customHeight="1" x14ac:dyDescent="0.25">
      <c r="A15" t="s">
        <v>168</v>
      </c>
      <c r="B15" t="s">
        <v>169</v>
      </c>
      <c r="C15" t="s">
        <v>170</v>
      </c>
      <c r="D15" s="1" t="s">
        <v>171</v>
      </c>
      <c r="E15" t="s">
        <v>172</v>
      </c>
      <c r="F15" t="s">
        <v>173</v>
      </c>
      <c r="G15" t="s">
        <v>174</v>
      </c>
      <c r="H15" t="s">
        <v>27</v>
      </c>
      <c r="I15" t="s">
        <v>28</v>
      </c>
      <c r="J15" t="s">
        <v>29</v>
      </c>
      <c r="K15" t="s">
        <v>42</v>
      </c>
      <c r="L15" t="s">
        <v>31</v>
      </c>
      <c r="M15" t="s">
        <v>32</v>
      </c>
      <c r="N15" s="4" t="s">
        <v>602</v>
      </c>
      <c r="O15" s="5" t="s">
        <v>175</v>
      </c>
      <c r="P15" s="2" t="s">
        <v>176</v>
      </c>
      <c r="Q15" s="5" t="s">
        <v>177</v>
      </c>
      <c r="R15" s="2" t="s">
        <v>178</v>
      </c>
      <c r="S15" t="s">
        <v>179</v>
      </c>
    </row>
    <row r="16" spans="1:20" ht="28.5" customHeight="1" x14ac:dyDescent="0.25">
      <c r="A16" t="s">
        <v>180</v>
      </c>
      <c r="B16" t="s">
        <v>181</v>
      </c>
      <c r="C16" t="s">
        <v>182</v>
      </c>
      <c r="D16" s="1" t="s">
        <v>183</v>
      </c>
      <c r="E16" t="s">
        <v>184</v>
      </c>
      <c r="F16" t="s">
        <v>185</v>
      </c>
      <c r="G16" t="s">
        <v>97</v>
      </c>
      <c r="H16" t="s">
        <v>27</v>
      </c>
      <c r="I16" t="s">
        <v>28</v>
      </c>
      <c r="J16" t="s">
        <v>29</v>
      </c>
      <c r="K16" t="s">
        <v>98</v>
      </c>
      <c r="L16" t="s">
        <v>31</v>
      </c>
      <c r="M16" t="s">
        <v>32</v>
      </c>
      <c r="N16" s="4" t="s">
        <v>186</v>
      </c>
      <c r="O16" s="5" t="s">
        <v>187</v>
      </c>
      <c r="P16" s="2" t="s">
        <v>188</v>
      </c>
      <c r="Q16" s="5" t="s">
        <v>189</v>
      </c>
      <c r="R16" s="2" t="s">
        <v>190</v>
      </c>
      <c r="S16" s="5" t="s">
        <v>191</v>
      </c>
    </row>
    <row r="17" spans="1:21" ht="35.25" customHeight="1" x14ac:dyDescent="0.25">
      <c r="A17" t="s">
        <v>192</v>
      </c>
      <c r="B17" t="s">
        <v>193</v>
      </c>
      <c r="C17" t="s">
        <v>194</v>
      </c>
      <c r="D17" s="1" t="s">
        <v>195</v>
      </c>
      <c r="E17" t="s">
        <v>196</v>
      </c>
      <c r="F17" t="s">
        <v>197</v>
      </c>
      <c r="G17" t="s">
        <v>52</v>
      </c>
      <c r="H17" t="s">
        <v>27</v>
      </c>
      <c r="I17" t="s">
        <v>28</v>
      </c>
      <c r="J17" t="s">
        <v>29</v>
      </c>
      <c r="K17" t="s">
        <v>42</v>
      </c>
      <c r="L17" t="s">
        <v>31</v>
      </c>
      <c r="M17" t="s">
        <v>32</v>
      </c>
      <c r="N17" s="4" t="s">
        <v>615</v>
      </c>
      <c r="O17" s="5" t="s">
        <v>198</v>
      </c>
      <c r="P17" t="s">
        <v>199</v>
      </c>
      <c r="Q17" s="5" t="s">
        <v>200</v>
      </c>
      <c r="R17" s="2" t="s">
        <v>200</v>
      </c>
    </row>
    <row r="18" spans="1:21" ht="21" customHeight="1" x14ac:dyDescent="0.25">
      <c r="A18" t="s">
        <v>201</v>
      </c>
      <c r="B18" t="s">
        <v>202</v>
      </c>
      <c r="C18" t="s">
        <v>203</v>
      </c>
      <c r="D18" s="1" t="s">
        <v>204</v>
      </c>
      <c r="E18" t="s">
        <v>205</v>
      </c>
      <c r="F18" t="s">
        <v>206</v>
      </c>
      <c r="G18" t="s">
        <v>154</v>
      </c>
      <c r="H18" t="s">
        <v>27</v>
      </c>
      <c r="I18" t="s">
        <v>28</v>
      </c>
      <c r="J18" t="s">
        <v>29</v>
      </c>
      <c r="K18" t="s">
        <v>85</v>
      </c>
      <c r="L18" t="s">
        <v>31</v>
      </c>
      <c r="M18" t="s">
        <v>32</v>
      </c>
      <c r="N18" s="4" t="s">
        <v>616</v>
      </c>
      <c r="O18" s="5" t="s">
        <v>207</v>
      </c>
      <c r="P18" s="2" t="s">
        <v>208</v>
      </c>
      <c r="Q18" s="5" t="s">
        <v>209</v>
      </c>
      <c r="R18" s="2"/>
      <c r="S18" s="5" t="s">
        <v>210</v>
      </c>
      <c r="T18" s="2" t="s">
        <v>210</v>
      </c>
    </row>
    <row r="19" spans="1:21" ht="27.75" customHeight="1" x14ac:dyDescent="0.25">
      <c r="A19" t="s">
        <v>211</v>
      </c>
      <c r="B19" t="s">
        <v>212</v>
      </c>
      <c r="C19" t="s">
        <v>213</v>
      </c>
      <c r="D19" s="1" t="s">
        <v>214</v>
      </c>
      <c r="E19" t="s">
        <v>215</v>
      </c>
      <c r="F19" t="s">
        <v>216</v>
      </c>
      <c r="G19" t="s">
        <v>74</v>
      </c>
      <c r="H19" t="s">
        <v>27</v>
      </c>
      <c r="I19" t="s">
        <v>28</v>
      </c>
      <c r="J19" t="s">
        <v>29</v>
      </c>
      <c r="K19" t="s">
        <v>217</v>
      </c>
      <c r="L19" t="s">
        <v>31</v>
      </c>
      <c r="M19" t="s">
        <v>32</v>
      </c>
      <c r="N19" s="4" t="s">
        <v>617</v>
      </c>
      <c r="O19" s="5" t="s">
        <v>218</v>
      </c>
      <c r="P19" s="2" t="s">
        <v>219</v>
      </c>
      <c r="Q19" s="5" t="s">
        <v>220</v>
      </c>
      <c r="S19" s="5" t="s">
        <v>221</v>
      </c>
      <c r="T19" s="5" t="s">
        <v>222</v>
      </c>
      <c r="U19" s="2"/>
    </row>
    <row r="20" spans="1:21" ht="24.75" customHeight="1" x14ac:dyDescent="0.25">
      <c r="A20" t="s">
        <v>223</v>
      </c>
      <c r="B20" t="s">
        <v>224</v>
      </c>
      <c r="C20" t="s">
        <v>225</v>
      </c>
      <c r="D20" s="1" t="s">
        <v>226</v>
      </c>
      <c r="E20" t="s">
        <v>227</v>
      </c>
      <c r="F20" t="s">
        <v>228</v>
      </c>
      <c r="G20" t="s">
        <v>74</v>
      </c>
      <c r="H20" t="s">
        <v>27</v>
      </c>
      <c r="I20" t="s">
        <v>28</v>
      </c>
      <c r="J20" t="s">
        <v>29</v>
      </c>
      <c r="K20" t="s">
        <v>75</v>
      </c>
      <c r="L20" t="s">
        <v>31</v>
      </c>
      <c r="M20" t="s">
        <v>32</v>
      </c>
      <c r="N20" s="4" t="s">
        <v>618</v>
      </c>
      <c r="O20" s="5" t="s">
        <v>229</v>
      </c>
      <c r="P20" t="s">
        <v>230</v>
      </c>
      <c r="Q20" s="5" t="s">
        <v>231</v>
      </c>
      <c r="R20" s="2" t="s">
        <v>232</v>
      </c>
      <c r="S20" s="5" t="s">
        <v>233</v>
      </c>
    </row>
    <row r="21" spans="1:21" ht="22.5" customHeight="1" x14ac:dyDescent="0.25">
      <c r="A21" t="s">
        <v>234</v>
      </c>
      <c r="B21" t="s">
        <v>235</v>
      </c>
      <c r="C21" t="s">
        <v>236</v>
      </c>
      <c r="D21" s="1" t="s">
        <v>237</v>
      </c>
      <c r="E21" t="s">
        <v>238</v>
      </c>
      <c r="F21" t="s">
        <v>40</v>
      </c>
      <c r="G21" t="s">
        <v>41</v>
      </c>
      <c r="H21" t="s">
        <v>27</v>
      </c>
      <c r="I21" t="s">
        <v>28</v>
      </c>
      <c r="J21" t="s">
        <v>29</v>
      </c>
      <c r="K21" t="s">
        <v>239</v>
      </c>
      <c r="L21" t="s">
        <v>31</v>
      </c>
      <c r="M21" t="s">
        <v>32</v>
      </c>
      <c r="N21" s="4" t="s">
        <v>619</v>
      </c>
      <c r="O21" s="5" t="s">
        <v>240</v>
      </c>
      <c r="P21" t="s">
        <v>241</v>
      </c>
      <c r="Q21" s="5" t="s">
        <v>242</v>
      </c>
      <c r="S21" s="5" t="s">
        <v>243</v>
      </c>
      <c r="T21" s="5" t="s">
        <v>243</v>
      </c>
    </row>
    <row r="22" spans="1:21" ht="36.75" customHeight="1" x14ac:dyDescent="0.25">
      <c r="A22" t="s">
        <v>244</v>
      </c>
      <c r="B22" t="s">
        <v>245</v>
      </c>
      <c r="C22" t="s">
        <v>246</v>
      </c>
      <c r="D22" s="1" t="s">
        <v>247</v>
      </c>
      <c r="E22" t="s">
        <v>248</v>
      </c>
      <c r="F22" t="s">
        <v>249</v>
      </c>
      <c r="G22" t="s">
        <v>52</v>
      </c>
      <c r="H22" t="s">
        <v>27</v>
      </c>
      <c r="I22" t="s">
        <v>28</v>
      </c>
      <c r="J22" t="s">
        <v>29</v>
      </c>
      <c r="K22" t="s">
        <v>85</v>
      </c>
      <c r="L22" t="s">
        <v>31</v>
      </c>
      <c r="M22" t="s">
        <v>32</v>
      </c>
      <c r="N22" s="4" t="s">
        <v>620</v>
      </c>
      <c r="O22" s="5" t="s">
        <v>250</v>
      </c>
      <c r="P22" s="2" t="s">
        <v>251</v>
      </c>
      <c r="Q22" s="5" t="s">
        <v>252</v>
      </c>
      <c r="R22" s="2" t="s">
        <v>253</v>
      </c>
      <c r="S22" s="5" t="s">
        <v>254</v>
      </c>
    </row>
    <row r="23" spans="1:21" ht="18.75" customHeight="1" x14ac:dyDescent="0.25">
      <c r="A23" t="s">
        <v>255</v>
      </c>
      <c r="B23" t="s">
        <v>256</v>
      </c>
      <c r="C23" t="s">
        <v>257</v>
      </c>
      <c r="D23" s="1" t="s">
        <v>258</v>
      </c>
      <c r="E23" t="s">
        <v>259</v>
      </c>
      <c r="F23" t="s">
        <v>260</v>
      </c>
      <c r="G23" t="s">
        <v>97</v>
      </c>
      <c r="H23" t="s">
        <v>27</v>
      </c>
      <c r="I23" t="s">
        <v>28</v>
      </c>
      <c r="J23" t="s">
        <v>29</v>
      </c>
      <c r="K23" t="s">
        <v>261</v>
      </c>
      <c r="L23" t="s">
        <v>31</v>
      </c>
      <c r="M23" t="s">
        <v>32</v>
      </c>
      <c r="N23" s="4" t="s">
        <v>621</v>
      </c>
      <c r="O23" s="5" t="s">
        <v>262</v>
      </c>
      <c r="P23" s="2" t="s">
        <v>262</v>
      </c>
    </row>
    <row r="24" spans="1:21" ht="35.25" customHeight="1" x14ac:dyDescent="0.25">
      <c r="A24" t="s">
        <v>263</v>
      </c>
      <c r="B24" t="s">
        <v>264</v>
      </c>
      <c r="C24" t="s">
        <v>265</v>
      </c>
      <c r="D24" s="1" t="s">
        <v>266</v>
      </c>
      <c r="E24" t="s">
        <v>267</v>
      </c>
      <c r="F24" t="s">
        <v>268</v>
      </c>
      <c r="G24" t="s">
        <v>154</v>
      </c>
      <c r="H24" t="s">
        <v>27</v>
      </c>
      <c r="I24" t="s">
        <v>28</v>
      </c>
      <c r="J24" t="s">
        <v>29</v>
      </c>
      <c r="K24" t="s">
        <v>98</v>
      </c>
      <c r="L24" t="s">
        <v>31</v>
      </c>
      <c r="M24" t="s">
        <v>32</v>
      </c>
      <c r="N24" s="4" t="s">
        <v>622</v>
      </c>
      <c r="O24" s="2" t="s">
        <v>269</v>
      </c>
      <c r="P24" s="2" t="s">
        <v>270</v>
      </c>
      <c r="Q24" s="2" t="s">
        <v>271</v>
      </c>
      <c r="R24" s="2" t="s">
        <v>272</v>
      </c>
      <c r="S24" s="2" t="s">
        <v>273</v>
      </c>
    </row>
    <row r="25" spans="1:21" ht="30.75" customHeight="1" x14ac:dyDescent="0.25">
      <c r="A25" t="s">
        <v>274</v>
      </c>
      <c r="B25" t="s">
        <v>275</v>
      </c>
      <c r="C25" t="s">
        <v>276</v>
      </c>
      <c r="D25" s="1" t="s">
        <v>277</v>
      </c>
      <c r="E25" t="s">
        <v>278</v>
      </c>
      <c r="F25" t="s">
        <v>279</v>
      </c>
      <c r="G25" t="s">
        <v>26</v>
      </c>
      <c r="H25" t="s">
        <v>27</v>
      </c>
      <c r="I25" t="s">
        <v>28</v>
      </c>
      <c r="J25" t="s">
        <v>29</v>
      </c>
      <c r="K25" t="s">
        <v>280</v>
      </c>
      <c r="L25" t="s">
        <v>31</v>
      </c>
      <c r="M25" t="s">
        <v>32</v>
      </c>
      <c r="N25" s="4" t="s">
        <v>623</v>
      </c>
      <c r="O25" t="s">
        <v>281</v>
      </c>
      <c r="P25" s="2" t="s">
        <v>282</v>
      </c>
      <c r="Q25" t="s">
        <v>283</v>
      </c>
      <c r="R25" s="2" t="s">
        <v>284</v>
      </c>
      <c r="T25" s="2" t="s">
        <v>285</v>
      </c>
    </row>
    <row r="26" spans="1:21" ht="23.25" customHeight="1" x14ac:dyDescent="0.25">
      <c r="A26" t="s">
        <v>286</v>
      </c>
      <c r="B26" t="s">
        <v>287</v>
      </c>
      <c r="C26" t="s">
        <v>288</v>
      </c>
      <c r="D26" s="1" t="s">
        <v>289</v>
      </c>
      <c r="E26" t="s">
        <v>290</v>
      </c>
      <c r="F26" t="s">
        <v>291</v>
      </c>
      <c r="G26" t="s">
        <v>26</v>
      </c>
      <c r="H26" t="s">
        <v>27</v>
      </c>
      <c r="I26" t="s">
        <v>28</v>
      </c>
      <c r="J26" t="s">
        <v>29</v>
      </c>
      <c r="K26" t="s">
        <v>85</v>
      </c>
      <c r="L26" t="s">
        <v>31</v>
      </c>
      <c r="M26" t="s">
        <v>32</v>
      </c>
      <c r="N26" s="4" t="s">
        <v>624</v>
      </c>
      <c r="O26" t="s">
        <v>292</v>
      </c>
      <c r="P26" s="2" t="s">
        <v>293</v>
      </c>
      <c r="Q26" t="s">
        <v>294</v>
      </c>
      <c r="R26" s="2" t="s">
        <v>295</v>
      </c>
      <c r="S26" t="s">
        <v>295</v>
      </c>
    </row>
    <row r="27" spans="1:21" ht="19.5" customHeight="1" x14ac:dyDescent="0.25">
      <c r="A27" t="s">
        <v>296</v>
      </c>
      <c r="B27" t="s">
        <v>297</v>
      </c>
      <c r="C27" t="s">
        <v>225</v>
      </c>
      <c r="D27" s="1" t="s">
        <v>298</v>
      </c>
      <c r="E27" t="s">
        <v>299</v>
      </c>
      <c r="F27" t="s">
        <v>228</v>
      </c>
      <c r="G27" t="s">
        <v>74</v>
      </c>
      <c r="H27" t="s">
        <v>27</v>
      </c>
      <c r="I27" t="s">
        <v>28</v>
      </c>
      <c r="J27" t="s">
        <v>29</v>
      </c>
      <c r="K27" t="s">
        <v>42</v>
      </c>
      <c r="L27" t="s">
        <v>31</v>
      </c>
      <c r="M27" t="s">
        <v>32</v>
      </c>
      <c r="N27" s="4" t="s">
        <v>625</v>
      </c>
      <c r="O27" t="s">
        <v>300</v>
      </c>
      <c r="P27" s="2" t="s">
        <v>301</v>
      </c>
      <c r="Q27" t="s">
        <v>302</v>
      </c>
      <c r="R27" s="2" t="s">
        <v>303</v>
      </c>
      <c r="S27" t="s">
        <v>304</v>
      </c>
    </row>
    <row r="28" spans="1:21" ht="36.75" customHeight="1" x14ac:dyDescent="0.25">
      <c r="A28" t="s">
        <v>305</v>
      </c>
      <c r="B28" t="s">
        <v>306</v>
      </c>
      <c r="C28" t="s">
        <v>150</v>
      </c>
      <c r="D28" s="1" t="s">
        <v>307</v>
      </c>
      <c r="E28" t="s">
        <v>308</v>
      </c>
      <c r="F28" t="s">
        <v>309</v>
      </c>
      <c r="G28" t="s">
        <v>154</v>
      </c>
      <c r="H28" t="s">
        <v>27</v>
      </c>
      <c r="I28" t="s">
        <v>28</v>
      </c>
      <c r="J28" t="s">
        <v>29</v>
      </c>
      <c r="K28" t="s">
        <v>98</v>
      </c>
      <c r="L28" t="s">
        <v>31</v>
      </c>
      <c r="M28" t="s">
        <v>32</v>
      </c>
      <c r="N28" s="4" t="s">
        <v>626</v>
      </c>
      <c r="O28" t="s">
        <v>310</v>
      </c>
      <c r="P28" s="2" t="s">
        <v>311</v>
      </c>
      <c r="Q28" t="s">
        <v>312</v>
      </c>
      <c r="R28" t="str">
        <f>Q28</f>
        <v>US$22.96</v>
      </c>
    </row>
    <row r="29" spans="1:21" ht="34.5" customHeight="1" x14ac:dyDescent="0.25">
      <c r="A29" t="s">
        <v>313</v>
      </c>
      <c r="B29" t="s">
        <v>314</v>
      </c>
      <c r="C29" t="s">
        <v>315</v>
      </c>
      <c r="D29" s="1" t="s">
        <v>316</v>
      </c>
      <c r="E29" t="s">
        <v>317</v>
      </c>
      <c r="F29" t="s">
        <v>318</v>
      </c>
      <c r="G29" t="s">
        <v>174</v>
      </c>
      <c r="H29" t="s">
        <v>27</v>
      </c>
      <c r="I29" t="s">
        <v>28</v>
      </c>
      <c r="J29" t="s">
        <v>29</v>
      </c>
      <c r="K29" t="s">
        <v>319</v>
      </c>
      <c r="L29" t="s">
        <v>31</v>
      </c>
      <c r="M29" t="s">
        <v>32</v>
      </c>
      <c r="N29" s="4" t="s">
        <v>627</v>
      </c>
      <c r="O29" t="s">
        <v>320</v>
      </c>
      <c r="P29" t="s">
        <v>321</v>
      </c>
      <c r="Q29" t="s">
        <v>322</v>
      </c>
      <c r="R29" s="2" t="s">
        <v>323</v>
      </c>
      <c r="T29" t="s">
        <v>323</v>
      </c>
    </row>
    <row r="30" spans="1:21" ht="32.25" customHeight="1" x14ac:dyDescent="0.25">
      <c r="A30" t="s">
        <v>324</v>
      </c>
      <c r="B30" t="s">
        <v>325</v>
      </c>
      <c r="C30" t="s">
        <v>139</v>
      </c>
      <c r="D30" s="1" t="s">
        <v>326</v>
      </c>
      <c r="E30" t="s">
        <v>327</v>
      </c>
      <c r="F30" t="s">
        <v>328</v>
      </c>
      <c r="G30" t="s">
        <v>97</v>
      </c>
      <c r="H30" t="s">
        <v>27</v>
      </c>
      <c r="I30" t="s">
        <v>28</v>
      </c>
      <c r="J30" t="s">
        <v>29</v>
      </c>
      <c r="K30" t="s">
        <v>98</v>
      </c>
      <c r="L30" t="s">
        <v>31</v>
      </c>
      <c r="M30" t="s">
        <v>32</v>
      </c>
      <c r="N30" s="4" t="s">
        <v>628</v>
      </c>
      <c r="O30" t="s">
        <v>262</v>
      </c>
      <c r="P30" t="s">
        <v>262</v>
      </c>
    </row>
    <row r="31" spans="1:21" ht="36.75" customHeight="1" x14ac:dyDescent="0.25">
      <c r="A31" t="s">
        <v>329</v>
      </c>
      <c r="B31" t="s">
        <v>330</v>
      </c>
      <c r="C31" t="s">
        <v>331</v>
      </c>
      <c r="D31" s="1" t="s">
        <v>332</v>
      </c>
      <c r="E31" t="s">
        <v>333</v>
      </c>
      <c r="F31" t="s">
        <v>334</v>
      </c>
      <c r="G31" t="s">
        <v>335</v>
      </c>
      <c r="H31" t="s">
        <v>27</v>
      </c>
      <c r="I31" t="s">
        <v>28</v>
      </c>
      <c r="J31" t="s">
        <v>29</v>
      </c>
      <c r="K31" t="s">
        <v>98</v>
      </c>
      <c r="L31" t="s">
        <v>31</v>
      </c>
      <c r="M31" t="s">
        <v>32</v>
      </c>
      <c r="N31" s="4" t="s">
        <v>629</v>
      </c>
      <c r="O31" t="s">
        <v>262</v>
      </c>
      <c r="P31" t="s">
        <v>262</v>
      </c>
    </row>
    <row r="32" spans="1:21" ht="21" customHeight="1" x14ac:dyDescent="0.25">
      <c r="A32" t="s">
        <v>336</v>
      </c>
      <c r="B32" t="s">
        <v>337</v>
      </c>
      <c r="C32" t="s">
        <v>338</v>
      </c>
      <c r="D32" s="1" t="s">
        <v>339</v>
      </c>
      <c r="E32" t="s">
        <v>340</v>
      </c>
      <c r="F32" t="s">
        <v>341</v>
      </c>
      <c r="G32" t="s">
        <v>97</v>
      </c>
      <c r="H32" t="s">
        <v>27</v>
      </c>
      <c r="I32" t="s">
        <v>28</v>
      </c>
      <c r="J32" t="s">
        <v>29</v>
      </c>
      <c r="K32" t="s">
        <v>42</v>
      </c>
      <c r="L32" t="s">
        <v>31</v>
      </c>
      <c r="M32" t="s">
        <v>32</v>
      </c>
      <c r="N32" s="2" t="s">
        <v>342</v>
      </c>
      <c r="O32" t="s">
        <v>262</v>
      </c>
      <c r="P32" t="s">
        <v>262</v>
      </c>
    </row>
    <row r="33" spans="1:20" ht="42" customHeight="1" x14ac:dyDescent="0.25">
      <c r="A33" t="s">
        <v>343</v>
      </c>
      <c r="B33" t="s">
        <v>344</v>
      </c>
      <c r="C33" t="s">
        <v>345</v>
      </c>
      <c r="D33" s="1" t="s">
        <v>346</v>
      </c>
      <c r="E33" t="s">
        <v>347</v>
      </c>
      <c r="F33" t="s">
        <v>348</v>
      </c>
      <c r="G33" t="s">
        <v>74</v>
      </c>
      <c r="H33" t="s">
        <v>27</v>
      </c>
      <c r="I33" t="s">
        <v>28</v>
      </c>
      <c r="J33" t="s">
        <v>29</v>
      </c>
      <c r="K33" t="s">
        <v>349</v>
      </c>
      <c r="L33" t="s">
        <v>31</v>
      </c>
      <c r="M33" t="s">
        <v>32</v>
      </c>
      <c r="N33" s="2"/>
      <c r="O33" t="s">
        <v>350</v>
      </c>
      <c r="P33" s="2" t="s">
        <v>351</v>
      </c>
      <c r="Q33" t="s">
        <v>352</v>
      </c>
      <c r="R33" s="2" t="s">
        <v>353</v>
      </c>
      <c r="S33" t="s">
        <v>354</v>
      </c>
      <c r="T33" s="2" t="s">
        <v>355</v>
      </c>
    </row>
    <row r="34" spans="1:20" ht="33.75" customHeight="1" x14ac:dyDescent="0.25">
      <c r="A34" t="s">
        <v>356</v>
      </c>
      <c r="B34" t="s">
        <v>357</v>
      </c>
      <c r="C34" t="s">
        <v>236</v>
      </c>
      <c r="D34" s="1" t="s">
        <v>358</v>
      </c>
      <c r="E34" t="s">
        <v>359</v>
      </c>
      <c r="F34" t="s">
        <v>279</v>
      </c>
      <c r="G34" t="s">
        <v>26</v>
      </c>
      <c r="H34" t="s">
        <v>27</v>
      </c>
      <c r="I34" t="s">
        <v>28</v>
      </c>
      <c r="J34" t="s">
        <v>29</v>
      </c>
      <c r="K34" t="s">
        <v>98</v>
      </c>
      <c r="L34" t="s">
        <v>31</v>
      </c>
      <c r="M34" t="s">
        <v>32</v>
      </c>
      <c r="N34" s="4" t="s">
        <v>631</v>
      </c>
      <c r="O34" t="s">
        <v>360</v>
      </c>
      <c r="P34" s="2" t="s">
        <v>361</v>
      </c>
      <c r="Q34" t="s">
        <v>362</v>
      </c>
      <c r="R34" s="2" t="s">
        <v>362</v>
      </c>
    </row>
    <row r="35" spans="1:20" ht="26.25" customHeight="1" x14ac:dyDescent="0.25">
      <c r="A35" t="s">
        <v>363</v>
      </c>
      <c r="B35" t="s">
        <v>364</v>
      </c>
      <c r="C35" t="s">
        <v>365</v>
      </c>
      <c r="D35" s="1" t="s">
        <v>366</v>
      </c>
      <c r="E35" t="s">
        <v>367</v>
      </c>
      <c r="F35" t="s">
        <v>249</v>
      </c>
      <c r="G35" t="s">
        <v>52</v>
      </c>
      <c r="H35" t="s">
        <v>27</v>
      </c>
      <c r="I35" t="s">
        <v>28</v>
      </c>
      <c r="J35" t="s">
        <v>29</v>
      </c>
      <c r="K35" t="s">
        <v>368</v>
      </c>
      <c r="L35" t="s">
        <v>31</v>
      </c>
      <c r="M35" t="s">
        <v>32</v>
      </c>
      <c r="N35" s="4" t="s">
        <v>632</v>
      </c>
      <c r="O35" t="s">
        <v>369</v>
      </c>
      <c r="P35" t="s">
        <v>370</v>
      </c>
      <c r="Q35" t="s">
        <v>371</v>
      </c>
      <c r="R35" t="s">
        <v>372</v>
      </c>
      <c r="T35" t="s">
        <v>372</v>
      </c>
    </row>
    <row r="36" spans="1:20" ht="36.75" customHeight="1" x14ac:dyDescent="0.25">
      <c r="A36" t="s">
        <v>373</v>
      </c>
      <c r="B36" t="s">
        <v>374</v>
      </c>
      <c r="C36" t="s">
        <v>213</v>
      </c>
      <c r="D36" s="1" t="s">
        <v>375</v>
      </c>
      <c r="E36" t="s">
        <v>376</v>
      </c>
      <c r="F36" t="s">
        <v>216</v>
      </c>
      <c r="G36" t="s">
        <v>74</v>
      </c>
      <c r="H36" t="s">
        <v>27</v>
      </c>
      <c r="I36" t="s">
        <v>28</v>
      </c>
      <c r="J36" t="s">
        <v>29</v>
      </c>
      <c r="K36" t="s">
        <v>98</v>
      </c>
      <c r="L36" t="s">
        <v>31</v>
      </c>
      <c r="M36" t="s">
        <v>32</v>
      </c>
      <c r="N36" s="4" t="s">
        <v>633</v>
      </c>
      <c r="O36" t="s">
        <v>377</v>
      </c>
      <c r="P36" s="2" t="s">
        <v>378</v>
      </c>
      <c r="Q36" t="s">
        <v>379</v>
      </c>
      <c r="R36" s="2" t="s">
        <v>380</v>
      </c>
      <c r="T36" s="2" t="s">
        <v>381</v>
      </c>
    </row>
    <row r="37" spans="1:20" ht="35.25" customHeight="1" x14ac:dyDescent="0.25">
      <c r="A37" t="s">
        <v>382</v>
      </c>
      <c r="B37" t="s">
        <v>383</v>
      </c>
      <c r="C37" t="s">
        <v>384</v>
      </c>
      <c r="D37" s="1" t="s">
        <v>385</v>
      </c>
      <c r="E37" t="s">
        <v>386</v>
      </c>
      <c r="F37" t="s">
        <v>387</v>
      </c>
      <c r="G37" t="s">
        <v>52</v>
      </c>
      <c r="H37" t="s">
        <v>27</v>
      </c>
      <c r="I37" t="s">
        <v>28</v>
      </c>
      <c r="J37" t="s">
        <v>29</v>
      </c>
      <c r="K37" t="s">
        <v>85</v>
      </c>
      <c r="L37" t="s">
        <v>31</v>
      </c>
      <c r="M37" t="s">
        <v>32</v>
      </c>
      <c r="N37" s="4" t="s">
        <v>634</v>
      </c>
      <c r="O37" t="s">
        <v>388</v>
      </c>
      <c r="P37" s="2" t="s">
        <v>389</v>
      </c>
      <c r="Q37" t="s">
        <v>390</v>
      </c>
      <c r="R37" t="s">
        <v>391</v>
      </c>
      <c r="T37" t="s">
        <v>392</v>
      </c>
    </row>
    <row r="38" spans="1:20" ht="38.25" customHeight="1" x14ac:dyDescent="0.25">
      <c r="A38" t="s">
        <v>393</v>
      </c>
      <c r="B38" t="s">
        <v>394</v>
      </c>
      <c r="C38" t="s">
        <v>395</v>
      </c>
      <c r="D38" s="1" t="s">
        <v>396</v>
      </c>
      <c r="E38" t="s">
        <v>397</v>
      </c>
      <c r="F38" t="s">
        <v>40</v>
      </c>
      <c r="G38" t="s">
        <v>41</v>
      </c>
      <c r="H38" t="s">
        <v>27</v>
      </c>
      <c r="I38" t="s">
        <v>28</v>
      </c>
      <c r="J38" t="s">
        <v>29</v>
      </c>
      <c r="K38" t="s">
        <v>75</v>
      </c>
      <c r="L38" t="s">
        <v>31</v>
      </c>
      <c r="M38" t="s">
        <v>32</v>
      </c>
      <c r="N38" s="4" t="s">
        <v>635</v>
      </c>
      <c r="O38" t="s">
        <v>136</v>
      </c>
      <c r="P38" s="2" t="s">
        <v>398</v>
      </c>
      <c r="Q38" t="s">
        <v>399</v>
      </c>
      <c r="R38" t="s">
        <v>400</v>
      </c>
      <c r="T38" t="s">
        <v>401</v>
      </c>
    </row>
    <row r="39" spans="1:20" ht="39" customHeight="1" x14ac:dyDescent="0.25">
      <c r="A39" t="s">
        <v>402</v>
      </c>
      <c r="B39" t="s">
        <v>403</v>
      </c>
      <c r="C39" t="s">
        <v>404</v>
      </c>
      <c r="D39" s="1" t="s">
        <v>405</v>
      </c>
      <c r="E39" t="s">
        <v>406</v>
      </c>
      <c r="F39" t="s">
        <v>407</v>
      </c>
      <c r="G39" t="s">
        <v>154</v>
      </c>
      <c r="H39" t="s">
        <v>27</v>
      </c>
      <c r="I39" t="s">
        <v>28</v>
      </c>
      <c r="J39" t="s">
        <v>29</v>
      </c>
      <c r="K39" t="s">
        <v>42</v>
      </c>
      <c r="L39" t="s">
        <v>31</v>
      </c>
      <c r="M39" t="s">
        <v>32</v>
      </c>
      <c r="N39" s="4" t="s">
        <v>636</v>
      </c>
      <c r="O39" t="s">
        <v>320</v>
      </c>
      <c r="P39" s="2" t="s">
        <v>408</v>
      </c>
      <c r="Q39" t="s">
        <v>409</v>
      </c>
      <c r="R39" t="s">
        <v>410</v>
      </c>
      <c r="T39" t="s">
        <v>410</v>
      </c>
    </row>
    <row r="40" spans="1:20" ht="42.75" customHeight="1" x14ac:dyDescent="0.25">
      <c r="A40" t="s">
        <v>411</v>
      </c>
      <c r="B40" t="s">
        <v>412</v>
      </c>
      <c r="C40" t="s">
        <v>48</v>
      </c>
      <c r="D40" s="1" t="s">
        <v>413</v>
      </c>
      <c r="E40" t="s">
        <v>414</v>
      </c>
      <c r="F40" t="s">
        <v>51</v>
      </c>
      <c r="G40" t="s">
        <v>52</v>
      </c>
      <c r="H40" t="s">
        <v>27</v>
      </c>
      <c r="I40" t="s">
        <v>28</v>
      </c>
      <c r="J40" t="s">
        <v>29</v>
      </c>
      <c r="K40" t="s">
        <v>368</v>
      </c>
      <c r="L40" t="s">
        <v>31</v>
      </c>
      <c r="M40" t="s">
        <v>32</v>
      </c>
      <c r="N40" s="4" t="s">
        <v>637</v>
      </c>
      <c r="O40" t="s">
        <v>415</v>
      </c>
      <c r="P40" s="2" t="s">
        <v>416</v>
      </c>
      <c r="Q40" t="s">
        <v>417</v>
      </c>
      <c r="R40" t="s">
        <v>418</v>
      </c>
      <c r="S40" t="s">
        <v>419</v>
      </c>
      <c r="T40" t="s">
        <v>420</v>
      </c>
    </row>
    <row r="41" spans="1:20" ht="45" customHeight="1" x14ac:dyDescent="0.25">
      <c r="A41" t="s">
        <v>421</v>
      </c>
      <c r="B41" t="s">
        <v>422</v>
      </c>
      <c r="C41" t="s">
        <v>423</v>
      </c>
      <c r="D41" s="1" t="s">
        <v>424</v>
      </c>
      <c r="E41" t="s">
        <v>397</v>
      </c>
      <c r="F41" t="s">
        <v>40</v>
      </c>
      <c r="G41" t="s">
        <v>41</v>
      </c>
      <c r="H41" t="s">
        <v>27</v>
      </c>
      <c r="I41" t="s">
        <v>28</v>
      </c>
      <c r="J41" t="s">
        <v>29</v>
      </c>
      <c r="K41" t="s">
        <v>85</v>
      </c>
      <c r="L41" t="s">
        <v>31</v>
      </c>
      <c r="M41" s="5" t="s">
        <v>32</v>
      </c>
      <c r="N41" s="4" t="s">
        <v>638</v>
      </c>
      <c r="O41" t="s">
        <v>425</v>
      </c>
      <c r="P41" s="2" t="s">
        <v>426</v>
      </c>
      <c r="Q41" t="s">
        <v>427</v>
      </c>
      <c r="R41" t="s">
        <v>428</v>
      </c>
      <c r="T41" t="s">
        <v>428</v>
      </c>
    </row>
    <row r="42" spans="1:20" ht="39.75" customHeight="1" x14ac:dyDescent="0.25">
      <c r="A42" t="s">
        <v>429</v>
      </c>
      <c r="B42" t="s">
        <v>430</v>
      </c>
      <c r="C42" t="s">
        <v>431</v>
      </c>
      <c r="D42" s="1" t="s">
        <v>432</v>
      </c>
      <c r="E42" t="s">
        <v>433</v>
      </c>
      <c r="F42" t="s">
        <v>434</v>
      </c>
      <c r="G42" t="s">
        <v>335</v>
      </c>
      <c r="H42" t="s">
        <v>27</v>
      </c>
      <c r="I42" t="s">
        <v>28</v>
      </c>
      <c r="J42" t="s">
        <v>29</v>
      </c>
      <c r="K42" t="s">
        <v>435</v>
      </c>
      <c r="L42" t="s">
        <v>31</v>
      </c>
      <c r="M42" t="s">
        <v>32</v>
      </c>
      <c r="N42" s="2"/>
      <c r="O42" t="s">
        <v>436</v>
      </c>
      <c r="P42" s="2" t="s">
        <v>437</v>
      </c>
      <c r="Q42" t="s">
        <v>438</v>
      </c>
      <c r="R42" t="s">
        <v>439</v>
      </c>
      <c r="T42" t="s">
        <v>440</v>
      </c>
    </row>
    <row r="43" spans="1:20" ht="27.75" customHeight="1" x14ac:dyDescent="0.25">
      <c r="A43" t="s">
        <v>441</v>
      </c>
      <c r="B43" t="s">
        <v>442</v>
      </c>
      <c r="C43" t="s">
        <v>443</v>
      </c>
      <c r="D43" s="1" t="s">
        <v>444</v>
      </c>
      <c r="E43" t="s">
        <v>445</v>
      </c>
      <c r="F43" t="s">
        <v>446</v>
      </c>
      <c r="G43" t="s">
        <v>335</v>
      </c>
      <c r="H43" t="s">
        <v>27</v>
      </c>
      <c r="I43" t="s">
        <v>28</v>
      </c>
      <c r="J43" t="s">
        <v>29</v>
      </c>
      <c r="K43" t="s">
        <v>435</v>
      </c>
      <c r="L43" t="s">
        <v>31</v>
      </c>
      <c r="M43" t="s">
        <v>32</v>
      </c>
      <c r="N43" s="4" t="s">
        <v>639</v>
      </c>
      <c r="O43" t="s">
        <v>447</v>
      </c>
      <c r="P43" s="2"/>
    </row>
    <row r="44" spans="1:20" ht="39" customHeight="1" x14ac:dyDescent="0.25">
      <c r="A44" t="s">
        <v>448</v>
      </c>
      <c r="B44" t="s">
        <v>449</v>
      </c>
      <c r="C44" t="s">
        <v>450</v>
      </c>
      <c r="D44" s="1" t="s">
        <v>451</v>
      </c>
      <c r="E44" t="s">
        <v>452</v>
      </c>
      <c r="F44" t="s">
        <v>453</v>
      </c>
      <c r="G44" t="s">
        <v>52</v>
      </c>
      <c r="H44" t="s">
        <v>27</v>
      </c>
      <c r="I44" t="s">
        <v>28</v>
      </c>
      <c r="J44" t="s">
        <v>29</v>
      </c>
      <c r="K44" t="s">
        <v>85</v>
      </c>
      <c r="L44" t="s">
        <v>31</v>
      </c>
      <c r="M44" s="5" t="s">
        <v>32</v>
      </c>
      <c r="N44" s="4" t="s">
        <v>640</v>
      </c>
      <c r="O44" t="s">
        <v>454</v>
      </c>
      <c r="P44" s="2" t="s">
        <v>455</v>
      </c>
      <c r="Q44" t="s">
        <v>456</v>
      </c>
      <c r="R44" t="s">
        <v>457</v>
      </c>
      <c r="T44" t="s">
        <v>458</v>
      </c>
    </row>
    <row r="45" spans="1:20" ht="41.25" customHeight="1" x14ac:dyDescent="0.25">
      <c r="A45" t="s">
        <v>459</v>
      </c>
      <c r="B45" t="s">
        <v>460</v>
      </c>
      <c r="C45" t="s">
        <v>461</v>
      </c>
      <c r="D45" s="1" t="s">
        <v>462</v>
      </c>
      <c r="E45" t="s">
        <v>463</v>
      </c>
      <c r="F45" t="s">
        <v>464</v>
      </c>
      <c r="G45" t="s">
        <v>97</v>
      </c>
      <c r="H45" t="s">
        <v>27</v>
      </c>
      <c r="I45" t="s">
        <v>28</v>
      </c>
      <c r="J45" t="s">
        <v>29</v>
      </c>
      <c r="K45" t="s">
        <v>465</v>
      </c>
      <c r="L45" t="s">
        <v>31</v>
      </c>
      <c r="M45" t="s">
        <v>32</v>
      </c>
      <c r="N45" s="4" t="s">
        <v>641</v>
      </c>
      <c r="O45" t="s">
        <v>466</v>
      </c>
      <c r="P45" s="2" t="s">
        <v>467</v>
      </c>
      <c r="Q45" t="s">
        <v>468</v>
      </c>
      <c r="R45" t="s">
        <v>469</v>
      </c>
      <c r="S45" t="s">
        <v>470</v>
      </c>
      <c r="T45" t="s">
        <v>469</v>
      </c>
    </row>
    <row r="46" spans="1:20" ht="22.5" customHeight="1" x14ac:dyDescent="0.25">
      <c r="A46" t="s">
        <v>471</v>
      </c>
      <c r="B46" t="s">
        <v>472</v>
      </c>
      <c r="C46" t="s">
        <v>473</v>
      </c>
      <c r="D46" s="1" t="s">
        <v>474</v>
      </c>
      <c r="E46" t="s">
        <v>475</v>
      </c>
      <c r="F46" t="s">
        <v>40</v>
      </c>
      <c r="G46" t="s">
        <v>41</v>
      </c>
      <c r="H46" t="s">
        <v>27</v>
      </c>
      <c r="I46" t="s">
        <v>28</v>
      </c>
      <c r="J46" t="s">
        <v>29</v>
      </c>
      <c r="K46" t="s">
        <v>42</v>
      </c>
      <c r="L46" t="s">
        <v>31</v>
      </c>
      <c r="M46" t="s">
        <v>32</v>
      </c>
      <c r="N46" s="4" t="s">
        <v>642</v>
      </c>
      <c r="O46" t="s">
        <v>136</v>
      </c>
      <c r="P46" t="s">
        <v>476</v>
      </c>
      <c r="Q46" t="s">
        <v>477</v>
      </c>
      <c r="R46" t="s">
        <v>478</v>
      </c>
      <c r="T46" t="s">
        <v>478</v>
      </c>
    </row>
    <row r="47" spans="1:20" ht="26.25" customHeight="1" x14ac:dyDescent="0.25">
      <c r="A47" t="s">
        <v>479</v>
      </c>
      <c r="B47" t="s">
        <v>480</v>
      </c>
      <c r="C47" t="s">
        <v>481</v>
      </c>
      <c r="D47" s="1" t="s">
        <v>482</v>
      </c>
      <c r="E47" t="s">
        <v>483</v>
      </c>
      <c r="F47" t="s">
        <v>484</v>
      </c>
      <c r="G47" t="s">
        <v>174</v>
      </c>
      <c r="H47" t="s">
        <v>27</v>
      </c>
      <c r="I47" t="s">
        <v>28</v>
      </c>
      <c r="J47" t="s">
        <v>29</v>
      </c>
      <c r="K47" t="s">
        <v>42</v>
      </c>
      <c r="L47" t="s">
        <v>31</v>
      </c>
      <c r="M47" t="s">
        <v>32</v>
      </c>
      <c r="N47" s="4" t="s">
        <v>630</v>
      </c>
      <c r="O47" t="s">
        <v>136</v>
      </c>
      <c r="P47" t="s">
        <v>485</v>
      </c>
      <c r="Q47" t="s">
        <v>486</v>
      </c>
      <c r="R47" t="s">
        <v>487</v>
      </c>
      <c r="T47" t="s">
        <v>487</v>
      </c>
    </row>
    <row r="48" spans="1:20" ht="29.25" customHeight="1" x14ac:dyDescent="0.25">
      <c r="A48" t="s">
        <v>488</v>
      </c>
      <c r="B48" t="s">
        <v>489</v>
      </c>
      <c r="C48" t="s">
        <v>490</v>
      </c>
      <c r="D48" s="1" t="s">
        <v>491</v>
      </c>
      <c r="E48" t="s">
        <v>492</v>
      </c>
      <c r="F48" t="s">
        <v>142</v>
      </c>
      <c r="G48" t="s">
        <v>97</v>
      </c>
      <c r="H48" t="s">
        <v>27</v>
      </c>
      <c r="I48" t="s">
        <v>28</v>
      </c>
      <c r="J48" t="s">
        <v>29</v>
      </c>
      <c r="K48" t="s">
        <v>493</v>
      </c>
      <c r="L48" t="s">
        <v>31</v>
      </c>
      <c r="M48" t="s">
        <v>32</v>
      </c>
      <c r="N48" s="2"/>
      <c r="O48" t="s">
        <v>136</v>
      </c>
      <c r="P48" t="s">
        <v>494</v>
      </c>
      <c r="Q48" t="s">
        <v>495</v>
      </c>
      <c r="R48" t="s">
        <v>496</v>
      </c>
      <c r="T48" t="s">
        <v>496</v>
      </c>
    </row>
    <row r="49" spans="1:20" ht="34.5" customHeight="1" x14ac:dyDescent="0.25">
      <c r="A49" t="s">
        <v>497</v>
      </c>
      <c r="B49" t="s">
        <v>498</v>
      </c>
      <c r="C49" t="s">
        <v>499</v>
      </c>
      <c r="D49" s="1" t="s">
        <v>500</v>
      </c>
      <c r="E49" t="s">
        <v>501</v>
      </c>
      <c r="F49" t="s">
        <v>334</v>
      </c>
      <c r="G49" t="s">
        <v>335</v>
      </c>
      <c r="H49" t="s">
        <v>27</v>
      </c>
      <c r="I49" t="s">
        <v>28</v>
      </c>
      <c r="J49" t="s">
        <v>29</v>
      </c>
      <c r="K49" t="s">
        <v>85</v>
      </c>
      <c r="L49" t="s">
        <v>31</v>
      </c>
      <c r="M49" t="s">
        <v>32</v>
      </c>
      <c r="N49" s="4" t="s">
        <v>613</v>
      </c>
      <c r="O49" t="s">
        <v>136</v>
      </c>
      <c r="P49" s="2" t="s">
        <v>502</v>
      </c>
      <c r="Q49" t="s">
        <v>478</v>
      </c>
      <c r="R49" t="s">
        <v>503</v>
      </c>
      <c r="T49" t="s">
        <v>503</v>
      </c>
    </row>
    <row r="50" spans="1:20" ht="24.75" customHeight="1" x14ac:dyDescent="0.25">
      <c r="A50" t="s">
        <v>504</v>
      </c>
      <c r="B50" t="s">
        <v>505</v>
      </c>
      <c r="C50" t="s">
        <v>506</v>
      </c>
      <c r="D50" s="1" t="s">
        <v>507</v>
      </c>
      <c r="E50" t="s">
        <v>508</v>
      </c>
      <c r="F50" t="s">
        <v>509</v>
      </c>
      <c r="G50" t="s">
        <v>74</v>
      </c>
      <c r="H50" t="s">
        <v>27</v>
      </c>
      <c r="I50" t="s">
        <v>28</v>
      </c>
      <c r="J50" t="s">
        <v>29</v>
      </c>
      <c r="K50" t="s">
        <v>510</v>
      </c>
      <c r="L50" t="s">
        <v>31</v>
      </c>
      <c r="M50" t="s">
        <v>32</v>
      </c>
      <c r="N50" s="4" t="s">
        <v>612</v>
      </c>
      <c r="O50" t="s">
        <v>155</v>
      </c>
      <c r="P50" s="2" t="s">
        <v>511</v>
      </c>
      <c r="Q50" t="s">
        <v>512</v>
      </c>
      <c r="R50" t="s">
        <v>512</v>
      </c>
    </row>
    <row r="51" spans="1:20" ht="33.75" customHeight="1" x14ac:dyDescent="0.25">
      <c r="A51" t="s">
        <v>513</v>
      </c>
      <c r="B51" t="s">
        <v>514</v>
      </c>
      <c r="C51" t="s">
        <v>515</v>
      </c>
      <c r="D51" s="1" t="s">
        <v>516</v>
      </c>
      <c r="E51" t="s">
        <v>517</v>
      </c>
      <c r="F51" t="s">
        <v>518</v>
      </c>
      <c r="G51" t="s">
        <v>97</v>
      </c>
      <c r="H51" t="s">
        <v>27</v>
      </c>
      <c r="I51" t="s">
        <v>28</v>
      </c>
      <c r="J51" t="s">
        <v>29</v>
      </c>
      <c r="K51" t="s">
        <v>42</v>
      </c>
      <c r="L51" t="s">
        <v>31</v>
      </c>
      <c r="M51" t="s">
        <v>32</v>
      </c>
      <c r="N51" s="4" t="s">
        <v>611</v>
      </c>
      <c r="O51" t="s">
        <v>320</v>
      </c>
      <c r="P51" s="2" t="s">
        <v>519</v>
      </c>
      <c r="Q51" t="s">
        <v>520</v>
      </c>
      <c r="R51" t="s">
        <v>521</v>
      </c>
      <c r="T51" t="s">
        <v>521</v>
      </c>
    </row>
    <row r="52" spans="1:20" ht="30.75" customHeight="1" x14ac:dyDescent="0.25">
      <c r="A52" t="s">
        <v>522</v>
      </c>
      <c r="B52" t="s">
        <v>523</v>
      </c>
      <c r="C52" t="s">
        <v>338</v>
      </c>
      <c r="D52" s="1" t="s">
        <v>524</v>
      </c>
      <c r="E52" t="s">
        <v>525</v>
      </c>
      <c r="F52" t="s">
        <v>526</v>
      </c>
      <c r="G52" t="s">
        <v>97</v>
      </c>
      <c r="H52" t="s">
        <v>27</v>
      </c>
      <c r="I52" t="s">
        <v>28</v>
      </c>
      <c r="J52" t="s">
        <v>29</v>
      </c>
      <c r="K52" t="s">
        <v>527</v>
      </c>
      <c r="L52" t="s">
        <v>31</v>
      </c>
      <c r="M52" t="s">
        <v>32</v>
      </c>
      <c r="N52" s="4" t="s">
        <v>610</v>
      </c>
      <c r="O52" t="s">
        <v>320</v>
      </c>
      <c r="P52" t="s">
        <v>528</v>
      </c>
      <c r="Q52" t="s">
        <v>529</v>
      </c>
      <c r="R52" t="s">
        <v>530</v>
      </c>
      <c r="T52" t="s">
        <v>530</v>
      </c>
    </row>
    <row r="53" spans="1:20" ht="21" customHeight="1" x14ac:dyDescent="0.25">
      <c r="A53" t="s">
        <v>531</v>
      </c>
      <c r="B53" t="s">
        <v>532</v>
      </c>
      <c r="C53" t="s">
        <v>533</v>
      </c>
      <c r="D53" s="1" t="s">
        <v>534</v>
      </c>
      <c r="E53" t="s">
        <v>196</v>
      </c>
      <c r="F53" t="s">
        <v>535</v>
      </c>
      <c r="G53" t="s">
        <v>154</v>
      </c>
      <c r="H53" t="s">
        <v>27</v>
      </c>
      <c r="I53" t="s">
        <v>28</v>
      </c>
      <c r="J53" t="s">
        <v>29</v>
      </c>
      <c r="K53" t="s">
        <v>536</v>
      </c>
      <c r="L53" t="s">
        <v>31</v>
      </c>
      <c r="M53" t="s">
        <v>32</v>
      </c>
      <c r="N53" s="4" t="s">
        <v>609</v>
      </c>
      <c r="O53" t="s">
        <v>537</v>
      </c>
      <c r="P53" t="s">
        <v>538</v>
      </c>
      <c r="Q53" t="s">
        <v>539</v>
      </c>
      <c r="R53" t="s">
        <v>418</v>
      </c>
      <c r="T53" t="s">
        <v>418</v>
      </c>
    </row>
    <row r="54" spans="1:20" ht="27.75" customHeight="1" x14ac:dyDescent="0.25">
      <c r="A54" t="s">
        <v>540</v>
      </c>
      <c r="B54" t="s">
        <v>541</v>
      </c>
      <c r="C54" t="s">
        <v>515</v>
      </c>
      <c r="D54" s="1" t="s">
        <v>542</v>
      </c>
      <c r="E54" t="s">
        <v>543</v>
      </c>
      <c r="F54" t="s">
        <v>518</v>
      </c>
      <c r="G54" t="s">
        <v>97</v>
      </c>
      <c r="H54" t="s">
        <v>27</v>
      </c>
      <c r="I54" t="s">
        <v>28</v>
      </c>
      <c r="J54" t="s">
        <v>29</v>
      </c>
      <c r="K54" t="s">
        <v>536</v>
      </c>
      <c r="L54" t="s">
        <v>31</v>
      </c>
      <c r="M54" t="s">
        <v>32</v>
      </c>
      <c r="N54" s="4" t="s">
        <v>608</v>
      </c>
      <c r="O54" t="s">
        <v>369</v>
      </c>
      <c r="P54" s="2" t="s">
        <v>544</v>
      </c>
      <c r="Q54" t="s">
        <v>545</v>
      </c>
      <c r="R54" t="s">
        <v>546</v>
      </c>
      <c r="T54" t="s">
        <v>546</v>
      </c>
    </row>
    <row r="55" spans="1:20" ht="32.25" customHeight="1" x14ac:dyDescent="0.25">
      <c r="A55" t="s">
        <v>547</v>
      </c>
      <c r="B55" t="s">
        <v>548</v>
      </c>
      <c r="C55" t="s">
        <v>549</v>
      </c>
      <c r="D55" s="1" t="s">
        <v>550</v>
      </c>
      <c r="E55" t="s">
        <v>551</v>
      </c>
      <c r="F55" t="s">
        <v>40</v>
      </c>
      <c r="G55" t="s">
        <v>41</v>
      </c>
      <c r="H55" t="s">
        <v>27</v>
      </c>
      <c r="I55" t="s">
        <v>28</v>
      </c>
      <c r="J55" t="s">
        <v>29</v>
      </c>
      <c r="K55" t="s">
        <v>42</v>
      </c>
      <c r="L55" t="s">
        <v>31</v>
      </c>
      <c r="M55" t="s">
        <v>32</v>
      </c>
      <c r="N55" s="4" t="s">
        <v>607</v>
      </c>
      <c r="P55" t="s">
        <v>552</v>
      </c>
    </row>
    <row r="56" spans="1:20" ht="24" customHeight="1" x14ac:dyDescent="0.25">
      <c r="A56" t="s">
        <v>553</v>
      </c>
      <c r="B56" t="s">
        <v>554</v>
      </c>
      <c r="C56" t="s">
        <v>499</v>
      </c>
      <c r="D56" s="1" t="s">
        <v>555</v>
      </c>
      <c r="E56" t="s">
        <v>556</v>
      </c>
      <c r="F56" t="s">
        <v>40</v>
      </c>
      <c r="G56" t="s">
        <v>41</v>
      </c>
      <c r="H56" t="s">
        <v>27</v>
      </c>
      <c r="I56" t="s">
        <v>28</v>
      </c>
      <c r="J56" t="s">
        <v>29</v>
      </c>
      <c r="K56" t="s">
        <v>42</v>
      </c>
      <c r="L56" t="s">
        <v>31</v>
      </c>
      <c r="M56" t="s">
        <v>32</v>
      </c>
      <c r="N56" s="4" t="s">
        <v>606</v>
      </c>
      <c r="O56" t="s">
        <v>320</v>
      </c>
      <c r="P56" s="2" t="s">
        <v>557</v>
      </c>
      <c r="Q56" t="s">
        <v>558</v>
      </c>
      <c r="R56" t="s">
        <v>559</v>
      </c>
      <c r="T56" t="str">
        <f>R56</f>
        <v>US$32.09 million</v>
      </c>
    </row>
    <row r="57" spans="1:20" ht="28.5" customHeight="1" x14ac:dyDescent="0.25">
      <c r="A57" t="s">
        <v>560</v>
      </c>
      <c r="B57" t="s">
        <v>561</v>
      </c>
      <c r="C57" t="s">
        <v>562</v>
      </c>
      <c r="D57" s="1" t="s">
        <v>563</v>
      </c>
      <c r="E57" t="s">
        <v>564</v>
      </c>
      <c r="F57" t="s">
        <v>334</v>
      </c>
      <c r="G57" t="s">
        <v>335</v>
      </c>
      <c r="H57" t="s">
        <v>27</v>
      </c>
      <c r="I57" t="s">
        <v>28</v>
      </c>
      <c r="J57" t="s">
        <v>29</v>
      </c>
      <c r="K57" t="s">
        <v>565</v>
      </c>
      <c r="L57" t="s">
        <v>31</v>
      </c>
      <c r="M57" t="s">
        <v>32</v>
      </c>
      <c r="N57" s="4" t="s">
        <v>605</v>
      </c>
      <c r="O57" t="s">
        <v>320</v>
      </c>
      <c r="P57" s="2" t="s">
        <v>566</v>
      </c>
      <c r="Q57" t="s">
        <v>567</v>
      </c>
      <c r="R57" t="s">
        <v>568</v>
      </c>
      <c r="T57" t="str">
        <f>R57</f>
        <v>US$27.45 million</v>
      </c>
    </row>
    <row r="58" spans="1:20" ht="28.5" customHeight="1" x14ac:dyDescent="0.25">
      <c r="A58" t="s">
        <v>569</v>
      </c>
      <c r="B58" t="s">
        <v>570</v>
      </c>
      <c r="C58" t="s">
        <v>571</v>
      </c>
      <c r="D58" s="1" t="s">
        <v>572</v>
      </c>
      <c r="E58" t="s">
        <v>573</v>
      </c>
      <c r="F58" t="s">
        <v>84</v>
      </c>
      <c r="G58" t="s">
        <v>26</v>
      </c>
      <c r="H58" t="s">
        <v>27</v>
      </c>
      <c r="I58" t="s">
        <v>28</v>
      </c>
      <c r="J58" t="s">
        <v>29</v>
      </c>
      <c r="K58" t="s">
        <v>85</v>
      </c>
      <c r="L58" t="s">
        <v>31</v>
      </c>
      <c r="M58" t="s">
        <v>32</v>
      </c>
      <c r="N58" s="4" t="s">
        <v>604</v>
      </c>
      <c r="O58" t="s">
        <v>136</v>
      </c>
      <c r="P58" s="2" t="s">
        <v>574</v>
      </c>
      <c r="Q58" t="s">
        <v>575</v>
      </c>
      <c r="R58" t="s">
        <v>576</v>
      </c>
      <c r="T58" t="s">
        <v>576</v>
      </c>
    </row>
    <row r="59" spans="1:20" ht="21" customHeight="1" x14ac:dyDescent="0.25">
      <c r="A59" t="s">
        <v>577</v>
      </c>
      <c r="B59" t="s">
        <v>578</v>
      </c>
      <c r="C59" t="s">
        <v>579</v>
      </c>
      <c r="D59" s="1" t="s">
        <v>580</v>
      </c>
      <c r="E59" t="s">
        <v>581</v>
      </c>
      <c r="F59" t="s">
        <v>582</v>
      </c>
      <c r="G59" t="s">
        <v>52</v>
      </c>
      <c r="H59" t="s">
        <v>27</v>
      </c>
      <c r="I59" t="s">
        <v>28</v>
      </c>
      <c r="J59" t="s">
        <v>29</v>
      </c>
      <c r="K59" t="s">
        <v>583</v>
      </c>
      <c r="L59" t="s">
        <v>31</v>
      </c>
      <c r="M59" t="s">
        <v>32</v>
      </c>
      <c r="N59" s="4" t="s">
        <v>603</v>
      </c>
      <c r="O59" t="s">
        <v>136</v>
      </c>
      <c r="P59" t="s">
        <v>584</v>
      </c>
      <c r="Q59" t="s">
        <v>585</v>
      </c>
      <c r="R59" t="s">
        <v>586</v>
      </c>
      <c r="S59" t="s">
        <v>587</v>
      </c>
      <c r="T59" t="s">
        <v>588</v>
      </c>
    </row>
  </sheetData>
  <hyperlinks>
    <hyperlink ref="D2" r:id="rId1" xr:uid="{00000000-0004-0000-0000-000000000000}"/>
    <hyperlink ref="D3" r:id="rId2" xr:uid="{00000000-0004-0000-0000-000002000000}"/>
    <hyperlink ref="D4" r:id="rId3" xr:uid="{00000000-0004-0000-0000-000003000000}"/>
    <hyperlink ref="D5" r:id="rId4" xr:uid="{00000000-0004-0000-0000-000004000000}"/>
    <hyperlink ref="D6" r:id="rId5" xr:uid="{00000000-0004-0000-0000-000005000000}"/>
    <hyperlink ref="D7" r:id="rId6" xr:uid="{00000000-0004-0000-0000-000008000000}"/>
    <hyperlink ref="D8" r:id="rId7" xr:uid="{00000000-0004-0000-0000-000009000000}"/>
    <hyperlink ref="D9" r:id="rId8" xr:uid="{00000000-0004-0000-0000-00000A000000}"/>
    <hyperlink ref="D10" r:id="rId9" xr:uid="{00000000-0004-0000-0000-00000B000000}"/>
    <hyperlink ref="D11" r:id="rId10" xr:uid="{00000000-0004-0000-0000-00000C000000}"/>
    <hyperlink ref="D12" r:id="rId11" xr:uid="{00000000-0004-0000-0000-00000E000000}"/>
    <hyperlink ref="D13" r:id="rId12" xr:uid="{00000000-0004-0000-0000-00000F000000}"/>
    <hyperlink ref="D14" r:id="rId13" xr:uid="{00000000-0004-0000-0000-000010000000}"/>
    <hyperlink ref="D15" r:id="rId14" xr:uid="{00000000-0004-0000-0000-000011000000}"/>
    <hyperlink ref="D16" r:id="rId15" xr:uid="{00000000-0004-0000-0000-000012000000}"/>
    <hyperlink ref="D17" r:id="rId16" xr:uid="{00000000-0004-0000-0000-000013000000}"/>
    <hyperlink ref="D18" r:id="rId17" xr:uid="{00000000-0004-0000-0000-000017000000}"/>
    <hyperlink ref="D19" r:id="rId18" xr:uid="{00000000-0004-0000-0000-000018000000}"/>
    <hyperlink ref="D20" r:id="rId19" xr:uid="{00000000-0004-0000-0000-00001A000000}"/>
    <hyperlink ref="D21" r:id="rId20" xr:uid="{00000000-0004-0000-0000-00001B000000}"/>
    <hyperlink ref="D22" r:id="rId21" xr:uid="{00000000-0004-0000-0000-00001C000000}"/>
    <hyperlink ref="D23" r:id="rId22" xr:uid="{00000000-0004-0000-0000-00001D000000}"/>
    <hyperlink ref="D24" r:id="rId23" xr:uid="{00000000-0004-0000-0000-00001E000000}"/>
    <hyperlink ref="D25" r:id="rId24" xr:uid="{00000000-0004-0000-0000-00001F000000}"/>
    <hyperlink ref="D26" r:id="rId25" xr:uid="{00000000-0004-0000-0000-000020000000}"/>
    <hyperlink ref="D27" r:id="rId26" xr:uid="{00000000-0004-0000-0000-000021000000}"/>
    <hyperlink ref="D28" r:id="rId27" xr:uid="{00000000-0004-0000-0000-000022000000}"/>
    <hyperlink ref="D29" r:id="rId28" xr:uid="{00000000-0004-0000-0000-000023000000}"/>
    <hyperlink ref="D30" r:id="rId29" xr:uid="{00000000-0004-0000-0000-000024000000}"/>
    <hyperlink ref="D31" r:id="rId30" xr:uid="{00000000-0004-0000-0000-000025000000}"/>
    <hyperlink ref="D32" r:id="rId31" xr:uid="{00000000-0004-0000-0000-000026000000}"/>
    <hyperlink ref="D33" r:id="rId32" xr:uid="{00000000-0004-0000-0000-000027000000}"/>
    <hyperlink ref="D34" r:id="rId33" xr:uid="{00000000-0004-0000-0000-000029000000}"/>
    <hyperlink ref="D35" r:id="rId34" xr:uid="{00000000-0004-0000-0000-00002A000000}"/>
    <hyperlink ref="D36" r:id="rId35" xr:uid="{00000000-0004-0000-0000-00002B000000}"/>
    <hyperlink ref="D37" r:id="rId36" xr:uid="{00000000-0004-0000-0000-00002C000000}"/>
    <hyperlink ref="D38" r:id="rId37" xr:uid="{00000000-0004-0000-0000-00002E000000}"/>
    <hyperlink ref="D39" r:id="rId38" xr:uid="{00000000-0004-0000-0000-000030000000}"/>
    <hyperlink ref="D40" r:id="rId39" xr:uid="{00000000-0004-0000-0000-000031000000}"/>
    <hyperlink ref="D41" r:id="rId40" xr:uid="{00000000-0004-0000-0000-000033000000}"/>
    <hyperlink ref="D42" r:id="rId41" xr:uid="{00000000-0004-0000-0000-000034000000}"/>
    <hyperlink ref="D43" r:id="rId42" xr:uid="{00000000-0004-0000-0000-000036000000}"/>
    <hyperlink ref="D44" r:id="rId43" xr:uid="{00000000-0004-0000-0000-000038000000}"/>
    <hyperlink ref="D45" r:id="rId44" xr:uid="{00000000-0004-0000-0000-000039000000}"/>
    <hyperlink ref="D46" r:id="rId45" xr:uid="{00000000-0004-0000-0000-00003A000000}"/>
    <hyperlink ref="D47" r:id="rId46" xr:uid="{00000000-0004-0000-0000-00003B000000}"/>
    <hyperlink ref="D48" r:id="rId47" xr:uid="{00000000-0004-0000-0000-00003C000000}"/>
    <hyperlink ref="D49" r:id="rId48" xr:uid="{00000000-0004-0000-0000-00003D000000}"/>
    <hyperlink ref="D50" r:id="rId49" xr:uid="{00000000-0004-0000-0000-00003F000000}"/>
    <hyperlink ref="D51" r:id="rId50" xr:uid="{00000000-0004-0000-0000-000040000000}"/>
    <hyperlink ref="D52" r:id="rId51" xr:uid="{00000000-0004-0000-0000-000041000000}"/>
    <hyperlink ref="D53" r:id="rId52" xr:uid="{00000000-0004-0000-0000-000042000000}"/>
    <hyperlink ref="D54" r:id="rId53" xr:uid="{00000000-0004-0000-0000-000043000000}"/>
    <hyperlink ref="D55" r:id="rId54" xr:uid="{00000000-0004-0000-0000-000044000000}"/>
    <hyperlink ref="D56" r:id="rId55" xr:uid="{00000000-0004-0000-0000-000045000000}"/>
    <hyperlink ref="D57" r:id="rId56" xr:uid="{00000000-0004-0000-0000-000046000000}"/>
    <hyperlink ref="D58" r:id="rId57" xr:uid="{00000000-0004-0000-0000-000048000000}"/>
    <hyperlink ref="D59" r:id="rId58" xr:uid="{00000000-0004-0000-0000-00004A000000}"/>
  </hyperlinks>
  <pageMargins left="0.7" right="0.7" top="0.75" bottom="0.75" header="0.3" footer="0.3"/>
  <headerFooter>
    <oddFooter>&amp;R_x000D_&amp;1#&amp;"Calibri"&amp;10&amp;K000000 Official Use Only</oddFooter>
  </headerFooter>
  <ignoredErrors>
    <ignoredError sqref="A1:D2 E2:M2 A5:D6 E6:M6 A18:D19 E19:M19 A7:D8 E15:M15 A20:C20 E27:M27 A34:D37 E37:M37 A38:D38 E38:M38 A39:D40 E40:M40 A41:D42 E42:M42 A43:D43 E43:M43 A44:D49 E46:M46 A50:D57 E50:M50 A58:D58 E58:M58 A59:D59 E59:M59 E1:H1 A3:C3 A4:C4 A10:D11 A9 C9 A12:D12 A15:D15 A13:C13 A14:C14 A17:D17 A16:C16 A22:D28 A21:C21 A30:D33 A29:C29 J1:N1 E3:M3 E4:M4 E5:M5 E7:M7 E8:M8 E9:M9 E10:M10 E17:M17 E16:M16 E11:M11 E12:M12 E13:M13 E14:M14 E32:N32 E28:M28 E57:M57 E56:M56 E55:M55 E54:M54 E53:M53 E52:M52 E51:M51 E49:M49 E48:M48 E47:M47 E18:M18 E20:M20 E21:M21 E22:M22 E23:M23 E24:M24 E25:M25 E26:M26 E29:M29 E30:M30 E31:M31 E33:M33 E34:M34 E35:M35 E36:M36 E39:M39 E41:L41 E44:L44 E45:M4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58A43-182E-4E81-8CD4-973EBE4DCCB9}">
  <dimension ref="A1:F8"/>
  <sheetViews>
    <sheetView workbookViewId="0">
      <selection activeCell="E12" sqref="E12"/>
    </sheetView>
  </sheetViews>
  <sheetFormatPr defaultRowHeight="15" x14ac:dyDescent="0.25"/>
  <cols>
    <col min="2" max="2" width="34.140625" customWidth="1"/>
    <col min="3" max="3" width="55.140625" customWidth="1"/>
    <col min="4" max="4" width="28.5703125" customWidth="1"/>
    <col min="5" max="5" width="31.5703125" customWidth="1"/>
    <col min="6" max="6" width="53.140625" customWidth="1"/>
    <col min="7" max="7" width="10" bestFit="1" customWidth="1"/>
  </cols>
  <sheetData>
    <row r="1" spans="1:6" s="11" customFormat="1" x14ac:dyDescent="0.25">
      <c r="A1" s="8"/>
      <c r="B1" s="8" t="s">
        <v>6</v>
      </c>
      <c r="C1" s="8" t="s">
        <v>16</v>
      </c>
      <c r="D1" s="12" t="s">
        <v>155</v>
      </c>
      <c r="E1" s="12" t="s">
        <v>165</v>
      </c>
      <c r="F1" s="12" t="s">
        <v>590</v>
      </c>
    </row>
    <row r="2" spans="1:6" x14ac:dyDescent="0.25">
      <c r="A2" s="8">
        <v>0</v>
      </c>
      <c r="B2" s="9" t="s">
        <v>52</v>
      </c>
      <c r="C2" s="10">
        <v>502010000</v>
      </c>
      <c r="D2" s="13">
        <v>52250000</v>
      </c>
      <c r="E2" s="13">
        <v>199000000</v>
      </c>
      <c r="F2" s="13">
        <v>78490000</v>
      </c>
    </row>
    <row r="3" spans="1:6" x14ac:dyDescent="0.25">
      <c r="A3" s="8">
        <v>1</v>
      </c>
      <c r="B3" s="9" t="s">
        <v>174</v>
      </c>
      <c r="C3" s="10">
        <v>340000000</v>
      </c>
      <c r="D3" s="13">
        <v>111500000</v>
      </c>
      <c r="E3" s="13">
        <v>154000000</v>
      </c>
      <c r="F3" s="13">
        <v>74500000</v>
      </c>
    </row>
    <row r="4" spans="1:6" x14ac:dyDescent="0.25">
      <c r="A4" s="8">
        <v>2</v>
      </c>
      <c r="B4" s="9" t="s">
        <v>154</v>
      </c>
      <c r="C4" s="10">
        <v>173460000</v>
      </c>
      <c r="D4" s="13">
        <v>74760000</v>
      </c>
      <c r="E4" s="13">
        <v>40850000</v>
      </c>
      <c r="F4" s="13">
        <v>33850000</v>
      </c>
    </row>
    <row r="5" spans="1:6" x14ac:dyDescent="0.25">
      <c r="A5" s="8">
        <v>3</v>
      </c>
      <c r="B5" s="9" t="s">
        <v>41</v>
      </c>
      <c r="C5" s="10">
        <v>453690000</v>
      </c>
      <c r="D5" s="13">
        <v>127090000</v>
      </c>
      <c r="E5" s="13">
        <v>191000000</v>
      </c>
      <c r="F5" s="13">
        <v>135590000</v>
      </c>
    </row>
    <row r="6" spans="1:6" x14ac:dyDescent="0.25">
      <c r="A6" s="8">
        <v>4</v>
      </c>
      <c r="B6" s="9" t="s">
        <v>97</v>
      </c>
      <c r="C6" s="10">
        <v>816930000</v>
      </c>
      <c r="D6" s="13">
        <v>355860000</v>
      </c>
      <c r="E6" s="13">
        <v>97150000</v>
      </c>
      <c r="F6" s="13">
        <v>351710000</v>
      </c>
    </row>
    <row r="7" spans="1:6" x14ac:dyDescent="0.25">
      <c r="A7" s="8">
        <v>5</v>
      </c>
      <c r="B7" s="9" t="s">
        <v>26</v>
      </c>
      <c r="C7" s="10">
        <v>510430000</v>
      </c>
      <c r="D7" s="13">
        <v>253320000</v>
      </c>
      <c r="E7" s="13">
        <v>284000000</v>
      </c>
      <c r="F7" s="13">
        <v>167550000</v>
      </c>
    </row>
    <row r="8" spans="1:6" x14ac:dyDescent="0.25">
      <c r="A8" s="8">
        <v>6</v>
      </c>
      <c r="B8" s="9" t="s">
        <v>74</v>
      </c>
      <c r="C8" s="10">
        <v>532200000</v>
      </c>
      <c r="D8" s="13">
        <v>205800000</v>
      </c>
      <c r="E8" s="13">
        <v>193000000</v>
      </c>
      <c r="F8" s="13">
        <v>37600000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E7F9-1AA6-4715-A51F-BE1C0F8E2A43}">
  <dimension ref="A1:B43"/>
  <sheetViews>
    <sheetView workbookViewId="0">
      <selection activeCell="J15" sqref="J15"/>
    </sheetView>
  </sheetViews>
  <sheetFormatPr defaultRowHeight="15" x14ac:dyDescent="0.25"/>
  <sheetData>
    <row r="1" spans="1:2" x14ac:dyDescent="0.25">
      <c r="A1" s="7" t="s">
        <v>5</v>
      </c>
      <c r="B1" s="7" t="s">
        <v>589</v>
      </c>
    </row>
    <row r="2" spans="1:2" x14ac:dyDescent="0.25">
      <c r="A2" s="7" t="s">
        <v>142</v>
      </c>
      <c r="B2" s="7">
        <v>493.8</v>
      </c>
    </row>
    <row r="3" spans="1:2" x14ac:dyDescent="0.25">
      <c r="A3" s="7" t="s">
        <v>40</v>
      </c>
      <c r="B3" s="7">
        <v>453.69</v>
      </c>
    </row>
    <row r="4" spans="1:2" x14ac:dyDescent="0.25">
      <c r="A4" s="7" t="s">
        <v>84</v>
      </c>
      <c r="B4" s="7">
        <v>348.2</v>
      </c>
    </row>
    <row r="5" spans="1:2" x14ac:dyDescent="0.25">
      <c r="A5" s="7"/>
      <c r="B5" s="7">
        <v>286.7</v>
      </c>
    </row>
    <row r="6" spans="1:2" x14ac:dyDescent="0.25">
      <c r="A6" s="7" t="s">
        <v>216</v>
      </c>
      <c r="B6" s="7">
        <v>206.1</v>
      </c>
    </row>
    <row r="7" spans="1:2" x14ac:dyDescent="0.25">
      <c r="A7" s="7" t="s">
        <v>279</v>
      </c>
      <c r="B7" s="7">
        <v>201.68</v>
      </c>
    </row>
    <row r="8" spans="1:2" x14ac:dyDescent="0.25">
      <c r="A8" s="7" t="s">
        <v>173</v>
      </c>
      <c r="B8" s="7">
        <v>191</v>
      </c>
    </row>
    <row r="9" spans="1:2" x14ac:dyDescent="0.25">
      <c r="A9" s="7" t="s">
        <v>518</v>
      </c>
      <c r="B9" s="7">
        <v>133.80000000000001</v>
      </c>
    </row>
    <row r="10" spans="1:2" x14ac:dyDescent="0.25">
      <c r="A10" s="7" t="s">
        <v>63</v>
      </c>
      <c r="B10" s="7">
        <v>113</v>
      </c>
    </row>
    <row r="11" spans="1:2" x14ac:dyDescent="0.25">
      <c r="A11" s="7" t="s">
        <v>484</v>
      </c>
      <c r="B11" s="7">
        <v>109</v>
      </c>
    </row>
    <row r="12" spans="1:2" x14ac:dyDescent="0.25">
      <c r="A12" s="7" t="s">
        <v>509</v>
      </c>
      <c r="B12" s="7">
        <v>97</v>
      </c>
    </row>
    <row r="13" spans="1:2" x14ac:dyDescent="0.25">
      <c r="A13" s="7" t="s">
        <v>51</v>
      </c>
      <c r="B13" s="7">
        <v>97</v>
      </c>
    </row>
    <row r="14" spans="1:2" x14ac:dyDescent="0.25">
      <c r="A14" s="7" t="s">
        <v>73</v>
      </c>
      <c r="B14" s="7">
        <v>92</v>
      </c>
    </row>
    <row r="15" spans="1:2" x14ac:dyDescent="0.25">
      <c r="A15" s="7" t="s">
        <v>119</v>
      </c>
      <c r="B15" s="7">
        <v>82.2</v>
      </c>
    </row>
    <row r="16" spans="1:2" x14ac:dyDescent="0.25">
      <c r="A16" s="7" t="s">
        <v>464</v>
      </c>
      <c r="B16" s="7">
        <v>73.23</v>
      </c>
    </row>
    <row r="17" spans="1:2" x14ac:dyDescent="0.25">
      <c r="A17" s="7" t="s">
        <v>334</v>
      </c>
      <c r="B17" s="7">
        <v>72.400000000000006</v>
      </c>
    </row>
    <row r="18" spans="1:2" x14ac:dyDescent="0.25">
      <c r="A18" s="7" t="s">
        <v>453</v>
      </c>
      <c r="B18" s="7">
        <v>55.29</v>
      </c>
    </row>
    <row r="19" spans="1:2" x14ac:dyDescent="0.25">
      <c r="A19" s="7" t="s">
        <v>163</v>
      </c>
      <c r="B19" s="7">
        <v>53.8</v>
      </c>
    </row>
    <row r="20" spans="1:2" x14ac:dyDescent="0.25">
      <c r="A20" s="7" t="s">
        <v>135</v>
      </c>
      <c r="B20" s="7">
        <v>51.32</v>
      </c>
    </row>
    <row r="21" spans="1:2" x14ac:dyDescent="0.25">
      <c r="A21" s="7" t="s">
        <v>268</v>
      </c>
      <c r="B21" s="7">
        <v>48</v>
      </c>
    </row>
    <row r="22" spans="1:2" x14ac:dyDescent="0.25">
      <c r="A22" s="7" t="s">
        <v>25</v>
      </c>
      <c r="B22" s="7">
        <v>44</v>
      </c>
    </row>
    <row r="23" spans="1:2" x14ac:dyDescent="0.25">
      <c r="A23" s="7" t="s">
        <v>318</v>
      </c>
      <c r="B23" s="7">
        <v>40</v>
      </c>
    </row>
    <row r="24" spans="1:2" x14ac:dyDescent="0.25">
      <c r="A24" s="7" t="s">
        <v>526</v>
      </c>
      <c r="B24" s="7">
        <v>38</v>
      </c>
    </row>
    <row r="25" spans="1:2" x14ac:dyDescent="0.25">
      <c r="A25" s="7" t="s">
        <v>153</v>
      </c>
      <c r="B25" s="7">
        <v>34.799999999999997</v>
      </c>
    </row>
    <row r="26" spans="1:2" x14ac:dyDescent="0.25">
      <c r="A26" s="7" t="s">
        <v>206</v>
      </c>
      <c r="B26" s="7">
        <v>33.700000000000003</v>
      </c>
    </row>
    <row r="27" spans="1:2" x14ac:dyDescent="0.25">
      <c r="A27" s="7" t="s">
        <v>228</v>
      </c>
      <c r="B27" s="7">
        <v>26.4</v>
      </c>
    </row>
    <row r="28" spans="1:2" x14ac:dyDescent="0.25">
      <c r="A28" s="7" t="s">
        <v>434</v>
      </c>
      <c r="B28" s="7">
        <v>25</v>
      </c>
    </row>
    <row r="29" spans="1:2" x14ac:dyDescent="0.25">
      <c r="A29" s="7" t="s">
        <v>309</v>
      </c>
      <c r="B29" s="7">
        <v>22.96</v>
      </c>
    </row>
    <row r="30" spans="1:2" x14ac:dyDescent="0.25">
      <c r="A30" s="7" t="s">
        <v>291</v>
      </c>
      <c r="B30" s="7">
        <v>22</v>
      </c>
    </row>
    <row r="31" spans="1:2" x14ac:dyDescent="0.25">
      <c r="A31" s="7" t="s">
        <v>535</v>
      </c>
      <c r="B31" s="7">
        <v>20</v>
      </c>
    </row>
    <row r="32" spans="1:2" x14ac:dyDescent="0.25">
      <c r="A32" s="7" t="s">
        <v>96</v>
      </c>
      <c r="B32" s="7">
        <v>16</v>
      </c>
    </row>
    <row r="33" spans="1:2" x14ac:dyDescent="0.25">
      <c r="A33" s="7" t="s">
        <v>348</v>
      </c>
      <c r="B33" s="7">
        <v>15.5</v>
      </c>
    </row>
    <row r="34" spans="1:2" x14ac:dyDescent="0.25">
      <c r="A34" s="7" t="s">
        <v>407</v>
      </c>
      <c r="B34" s="7">
        <v>14</v>
      </c>
    </row>
    <row r="35" spans="1:2" x14ac:dyDescent="0.25">
      <c r="A35" s="7" t="s">
        <v>109</v>
      </c>
      <c r="B35" s="7">
        <v>13</v>
      </c>
    </row>
    <row r="36" spans="1:2" x14ac:dyDescent="0.25">
      <c r="A36" s="7" t="s">
        <v>185</v>
      </c>
      <c r="B36" s="7">
        <v>8.3000000000000007</v>
      </c>
    </row>
    <row r="37" spans="1:2" x14ac:dyDescent="0.25">
      <c r="A37" s="7" t="s">
        <v>582</v>
      </c>
      <c r="B37" s="7">
        <v>8</v>
      </c>
    </row>
    <row r="38" spans="1:2" x14ac:dyDescent="0.25">
      <c r="A38" s="7" t="s">
        <v>387</v>
      </c>
      <c r="B38" s="7">
        <v>6</v>
      </c>
    </row>
    <row r="39" spans="1:2" x14ac:dyDescent="0.25">
      <c r="A39" s="7" t="s">
        <v>197</v>
      </c>
      <c r="B39" s="7">
        <v>5.4</v>
      </c>
    </row>
    <row r="40" spans="1:2" x14ac:dyDescent="0.25">
      <c r="A40" s="7" t="s">
        <v>341</v>
      </c>
      <c r="B40" s="7">
        <v>0</v>
      </c>
    </row>
    <row r="41" spans="1:2" x14ac:dyDescent="0.25">
      <c r="A41" s="7" t="s">
        <v>446</v>
      </c>
      <c r="B41" s="7">
        <v>0</v>
      </c>
    </row>
    <row r="42" spans="1:2" x14ac:dyDescent="0.25">
      <c r="A42" s="7" t="s">
        <v>260</v>
      </c>
      <c r="B42" s="7">
        <v>0</v>
      </c>
    </row>
    <row r="43" spans="1:2" x14ac:dyDescent="0.25">
      <c r="A43" s="7" t="s">
        <v>328</v>
      </c>
      <c r="B43" s="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d8c543d5-41cf-444b-8dea-482a74d2074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7563B6C81A637478CE89FA3356AB43E" ma:contentTypeVersion="15" ma:contentTypeDescription="Create a new document." ma:contentTypeScope="" ma:versionID="00b9cb18a24fa60d0efb3062591a5c26">
  <xsd:schema xmlns:xsd="http://www.w3.org/2001/XMLSchema" xmlns:xs="http://www.w3.org/2001/XMLSchema" xmlns:p="http://schemas.microsoft.com/office/2006/metadata/properties" xmlns:ns1="http://schemas.microsoft.com/sharepoint/v3" xmlns:ns3="d8c543d5-41cf-444b-8dea-482a74d20741" xmlns:ns4="f581b23d-c3eb-4d22-b7f5-59d16126f768" targetNamespace="http://schemas.microsoft.com/office/2006/metadata/properties" ma:root="true" ma:fieldsID="635cd799515b9bccdc89a923e5019def" ns1:_="" ns3:_="" ns4:_="">
    <xsd:import namespace="http://schemas.microsoft.com/sharepoint/v3"/>
    <xsd:import namespace="d8c543d5-41cf-444b-8dea-482a74d20741"/>
    <xsd:import namespace="f581b23d-c3eb-4d22-b7f5-59d16126f768"/>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earchProperties" minOccurs="0"/>
                <xsd:element ref="ns3:MediaServiceGenerationTime" minOccurs="0"/>
                <xsd:element ref="ns3:MediaServiceEventHashCode" minOccurs="0"/>
                <xsd:element ref="ns3:MediaServiceDateTaken" minOccurs="0"/>
                <xsd:element ref="ns3:MediaServiceSystemTags"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c543d5-41cf-444b-8dea-482a74d20741"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581b23d-c3eb-4d22-b7f5-59d16126f768"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22652C-9327-4AA7-A5EB-93DDAA0CE6C9}">
  <ds:schemaRefs>
    <ds:schemaRef ds:uri="http://schemas.microsoft.com/office/2006/metadata/properties"/>
    <ds:schemaRef ds:uri="http://schemas.microsoft.com/office/infopath/2007/PartnerControls"/>
    <ds:schemaRef ds:uri="http://schemas.microsoft.com/sharepoint/v3"/>
    <ds:schemaRef ds:uri="d8c543d5-41cf-444b-8dea-482a74d20741"/>
  </ds:schemaRefs>
</ds:datastoreItem>
</file>

<file path=customXml/itemProps2.xml><?xml version="1.0" encoding="utf-8"?>
<ds:datastoreItem xmlns:ds="http://schemas.openxmlformats.org/officeDocument/2006/customXml" ds:itemID="{2BDEF4C1-46F8-4E79-AD00-92BE5AE6B9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8c543d5-41cf-444b-8dea-482a74d20741"/>
    <ds:schemaRef ds:uri="f581b23d-c3eb-4d22-b7f5-59d16126f7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01D511-688A-4582-B6F0-669501D307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Agriculture GP project with PUE</vt:lpstr>
      <vt:lpstr>Region specific</vt:lpstr>
      <vt:lpstr>Country sp;ecific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Siddika Bhuiyan Mishu</dc:creator>
  <cp:keywords/>
  <dc:description/>
  <cp:lastModifiedBy>Siddika Bhuiyanmishu</cp:lastModifiedBy>
  <cp:revision/>
  <dcterms:created xsi:type="dcterms:W3CDTF">2025-11-10T15:14:20Z</dcterms:created>
  <dcterms:modified xsi:type="dcterms:W3CDTF">2025-11-26T15:26:04Z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2025-11-10T15:14:12Z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7b12eb7b-04b0-4a47-be0f-8fa0efcd1f34</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y fmtid="{D5CDD505-2E9C-101B-9397-08002B2CF9AE}" pid="10" name="ContentTypeId">
    <vt:lpwstr>0x01010097563B6C81A637478CE89FA3356AB43E</vt:lpwstr>
  </property>
</Properties>
</file>